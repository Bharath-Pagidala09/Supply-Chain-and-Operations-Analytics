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hara\Desktop\Bham\2. Supply chain\Assignment2\"/>
    </mc:Choice>
  </mc:AlternateContent>
  <xr:revisionPtr revIDLastSave="0" documentId="13_ncr:1_{0F637A7E-A678-4D08-8AF3-14F7BDE7919D}" xr6:coauthVersionLast="47" xr6:coauthVersionMax="47" xr10:uidLastSave="{00000000-0000-0000-0000-000000000000}"/>
  <bookViews>
    <workbookView xWindow="-108" yWindow="-108" windowWidth="23256" windowHeight="13896" xr2:uid="{2635395F-4295-4B5B-B72B-A3F4AD361D20}"/>
  </bookViews>
  <sheets>
    <sheet name="Data and Task 2" sheetId="1" r:id="rId1"/>
    <sheet name="Forecasting Models" sheetId="2" r:id="rId2"/>
    <sheet name="Selected Random Numbers" sheetId="10" r:id="rId3"/>
    <sheet name="Inventory Simmulation" sheetId="3" r:id="rId4"/>
    <sheet name="Engineer job allocation" sheetId="5" r:id="rId5"/>
    <sheet name="Solver(Answer Report)" sheetId="6" r:id="rId6"/>
    <sheet name="Vehicles Servicicng" sheetId="7" r:id="rId7"/>
  </sheets>
  <functionGroups builtInGroupCount="19"/>
  <definedNames>
    <definedName name="solver_adj" localSheetId="4" hidden="1">'Engineer job allocation'!$B$10:$F$14</definedName>
    <definedName name="solver_cvg" localSheetId="4" hidden="1">0.0001</definedName>
    <definedName name="solver_drv" localSheetId="4" hidden="1">2</definedName>
    <definedName name="solver_eng" localSheetId="4" hidden="1">2</definedName>
    <definedName name="solver_est" localSheetId="4" hidden="1">1</definedName>
    <definedName name="solver_itr" localSheetId="4" hidden="1">2147483647</definedName>
    <definedName name="solver_lhs1" localSheetId="4" hidden="1">'Engineer job allocation'!$B$10:$F$14</definedName>
    <definedName name="solver_lhs2" localSheetId="4" hidden="1">'Engineer job allocation'!$B$19:$F$19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1</definedName>
    <definedName name="solver_nod" localSheetId="4" hidden="1">2147483647</definedName>
    <definedName name="solver_num" localSheetId="4" hidden="1">2</definedName>
    <definedName name="solver_nwt" localSheetId="4" hidden="1">1</definedName>
    <definedName name="solver_opt" localSheetId="4" hidden="1">'Engineer job allocation'!$B$16</definedName>
    <definedName name="solver_pre" localSheetId="4" hidden="1">0.000001</definedName>
    <definedName name="solver_rbv" localSheetId="4" hidden="1">2</definedName>
    <definedName name="solver_rel1" localSheetId="4" hidden="1">5</definedName>
    <definedName name="solver_rel2" localSheetId="4" hidden="1">2</definedName>
    <definedName name="solver_rhs1" localSheetId="4" hidden="1">"binary"</definedName>
    <definedName name="solver_rhs2" localSheetId="4" hidden="1">'Engineer job allocation'!$G$19</definedName>
    <definedName name="solver_rlx" localSheetId="4" hidden="1">2</definedName>
    <definedName name="solver_rsd" localSheetId="4" hidden="1">0</definedName>
    <definedName name="solver_scl" localSheetId="4" hidden="1">2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2</definedName>
    <definedName name="solver_val" localSheetId="4" hidden="1">0</definedName>
    <definedName name="solver_ver" localSheetId="4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5" l="1"/>
  <c r="B14" i="7" l="1"/>
  <c r="B19" i="7" s="1"/>
  <c r="B17" i="7"/>
  <c r="F6" i="7"/>
  <c r="F5" i="7"/>
  <c r="G4" i="7" l="1"/>
  <c r="M4" i="7" s="1"/>
  <c r="I4" i="7"/>
  <c r="D8" i="1"/>
  <c r="E8" i="1" s="1"/>
  <c r="F5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I8" i="7"/>
  <c r="I9" i="7"/>
  <c r="I10" i="7"/>
  <c r="I11" i="7"/>
  <c r="I12" i="7"/>
  <c r="I13" i="7"/>
  <c r="I14" i="7"/>
  <c r="I15" i="7"/>
  <c r="I16" i="7"/>
  <c r="I17" i="7"/>
  <c r="I18" i="7"/>
  <c r="F8" i="7"/>
  <c r="F9" i="7"/>
  <c r="F10" i="7"/>
  <c r="F11" i="7"/>
  <c r="F12" i="7"/>
  <c r="F13" i="7"/>
  <c r="F14" i="7"/>
  <c r="F15" i="7"/>
  <c r="F16" i="7"/>
  <c r="F17" i="7"/>
  <c r="F18" i="7"/>
  <c r="I7" i="7"/>
  <c r="F7" i="7"/>
  <c r="I6" i="7"/>
  <c r="I5" i="7"/>
  <c r="O4" i="7" l="1"/>
  <c r="N4" i="7"/>
  <c r="G5" i="7"/>
  <c r="G6" i="7" s="1"/>
  <c r="G7" i="7" s="1"/>
  <c r="G8" i="7" s="1"/>
  <c r="G9" i="7" s="1"/>
  <c r="G10" i="7" s="1"/>
  <c r="G11" i="7" s="1"/>
  <c r="G12" i="7" s="1"/>
  <c r="G13" i="7" s="1"/>
  <c r="G14" i="7" s="1"/>
  <c r="G15" i="7" s="1"/>
  <c r="G16" i="7" s="1"/>
  <c r="G17" i="7" s="1"/>
  <c r="G18" i="7" s="1"/>
  <c r="K4" i="7"/>
  <c r="AI3" i="1" a="1"/>
  <c r="AI3" i="1" s="1"/>
  <c r="W8" i="1"/>
  <c r="M5" i="7" l="1"/>
  <c r="J5" i="7"/>
  <c r="P5" i="7" l="1"/>
  <c r="K5" i="7"/>
  <c r="O5" i="7"/>
  <c r="N5" i="7"/>
  <c r="L5" i="7" l="1"/>
  <c r="M6" i="7"/>
  <c r="O6" i="7" s="1"/>
  <c r="J6" i="7"/>
  <c r="N6" i="7" l="1"/>
  <c r="P6" i="7"/>
  <c r="L6" i="7"/>
  <c r="K6" i="7"/>
  <c r="M7" i="7" s="1"/>
  <c r="J7" i="7" l="1"/>
  <c r="O7" i="7"/>
  <c r="N7" i="7"/>
  <c r="P7" i="7" l="1"/>
  <c r="K7" i="7"/>
  <c r="L7" i="7"/>
  <c r="J8" i="7" l="1"/>
  <c r="L8" i="7"/>
  <c r="P8" i="7"/>
  <c r="M8" i="7"/>
  <c r="N8" i="7" l="1"/>
  <c r="O8" i="7"/>
  <c r="K8" i="7" l="1"/>
  <c r="M9" i="7" l="1"/>
  <c r="J9" i="7"/>
  <c r="L9" i="7" l="1"/>
  <c r="P9" i="7"/>
  <c r="N9" i="7"/>
  <c r="K9" i="7" s="1"/>
  <c r="O9" i="7"/>
  <c r="M10" i="7" l="1"/>
  <c r="N10" i="7" s="1"/>
  <c r="J10" i="7"/>
  <c r="O10" i="7" l="1"/>
  <c r="P10" i="7"/>
  <c r="L10" i="7"/>
  <c r="K10" i="7"/>
  <c r="M11" i="7" l="1"/>
  <c r="N11" i="7"/>
  <c r="O11" i="7"/>
  <c r="J11" i="7"/>
  <c r="AC13" i="3"/>
  <c r="AB10" i="3"/>
  <c r="AC10" i="3"/>
  <c r="AA10" i="3"/>
  <c r="Z10" i="3"/>
  <c r="F19" i="5"/>
  <c r="E19" i="5"/>
  <c r="D19" i="5"/>
  <c r="C19" i="5"/>
  <c r="B19" i="5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N9" i="3"/>
  <c r="M9" i="3"/>
  <c r="L9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N8" i="3"/>
  <c r="M8" i="3"/>
  <c r="L8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N7" i="3"/>
  <c r="M7" i="3"/>
  <c r="L7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N6" i="3"/>
  <c r="M6" i="3"/>
  <c r="L6" i="3"/>
  <c r="AC5" i="3"/>
  <c r="AB5" i="3"/>
  <c r="AA5" i="3"/>
  <c r="Z5" i="3"/>
  <c r="Y5" i="3"/>
  <c r="X5" i="3"/>
  <c r="W5" i="3"/>
  <c r="V5" i="3"/>
  <c r="U5" i="3"/>
  <c r="T5" i="3"/>
  <c r="S5" i="3"/>
  <c r="R5" i="3"/>
  <c r="Q5" i="3"/>
  <c r="P5" i="3"/>
  <c r="N5" i="3"/>
  <c r="M5" i="3"/>
  <c r="L5" i="3"/>
  <c r="AC4" i="3"/>
  <c r="AB4" i="3"/>
  <c r="AA4" i="3"/>
  <c r="Z4" i="3"/>
  <c r="Y4" i="3"/>
  <c r="X4" i="3"/>
  <c r="W4" i="3"/>
  <c r="V4" i="3"/>
  <c r="U4" i="3"/>
  <c r="T4" i="3"/>
  <c r="S4" i="3"/>
  <c r="R4" i="3"/>
  <c r="Q4" i="3"/>
  <c r="P4" i="3"/>
  <c r="N4" i="3"/>
  <c r="M4" i="3"/>
  <c r="L4" i="3"/>
  <c r="AC3" i="3"/>
  <c r="AB3" i="3"/>
  <c r="AA3" i="3"/>
  <c r="Z3" i="3"/>
  <c r="Y3" i="3"/>
  <c r="X3" i="3"/>
  <c r="W3" i="3"/>
  <c r="V3" i="3"/>
  <c r="U3" i="3"/>
  <c r="T3" i="3"/>
  <c r="S3" i="3"/>
  <c r="R3" i="3"/>
  <c r="Q3" i="3"/>
  <c r="P3" i="3"/>
  <c r="N3" i="3"/>
  <c r="L3" i="3"/>
  <c r="K11" i="7" l="1"/>
  <c r="P11" i="7"/>
  <c r="L11" i="7"/>
  <c r="C12" i="3"/>
  <c r="C13" i="3" s="1"/>
  <c r="C14" i="3" s="1"/>
  <c r="C4" i="3"/>
  <c r="C5" i="3" s="1"/>
  <c r="C6" i="3" s="1"/>
  <c r="M12" i="7" l="1"/>
  <c r="N12" i="7" s="1"/>
  <c r="J12" i="7"/>
  <c r="C15" i="3"/>
  <c r="C16" i="3" s="1"/>
  <c r="J5" i="3"/>
  <c r="J6" i="3"/>
  <c r="J9" i="3"/>
  <c r="J4" i="3"/>
  <c r="C7" i="3"/>
  <c r="C8" i="3" s="1"/>
  <c r="H9" i="3"/>
  <c r="H3" i="3"/>
  <c r="H4" i="3"/>
  <c r="H5" i="3"/>
  <c r="H6" i="3"/>
  <c r="H7" i="3"/>
  <c r="O12" i="7" l="1"/>
  <c r="P12" i="7"/>
  <c r="K12" i="7"/>
  <c r="L12" i="7"/>
  <c r="J13" i="7" s="1"/>
  <c r="H8" i="3"/>
  <c r="K4" i="3"/>
  <c r="J8" i="3"/>
  <c r="J7" i="3"/>
  <c r="K7" i="3" s="1"/>
  <c r="J3" i="3"/>
  <c r="K6" i="3"/>
  <c r="K3" i="3"/>
  <c r="K9" i="3"/>
  <c r="K5" i="3"/>
  <c r="M13" i="7" l="1"/>
  <c r="P13" i="7"/>
  <c r="K8" i="3"/>
  <c r="N13" i="7" l="1"/>
  <c r="O13" i="7"/>
  <c r="F4" i="3"/>
  <c r="F5" i="3"/>
  <c r="F6" i="3"/>
  <c r="F7" i="3"/>
  <c r="F8" i="3"/>
  <c r="F9" i="3"/>
  <c r="F3" i="3"/>
  <c r="D4" i="2"/>
  <c r="L13" i="7" l="1"/>
  <c r="K13" i="7"/>
  <c r="AC6" i="2"/>
  <c r="AB6" i="2"/>
  <c r="AC5" i="2"/>
  <c r="AC4" i="2"/>
  <c r="AB5" i="2"/>
  <c r="AB4" i="2"/>
  <c r="Y6" i="2"/>
  <c r="Y5" i="2"/>
  <c r="Y4" i="2"/>
  <c r="X6" i="2"/>
  <c r="X5" i="2"/>
  <c r="X4" i="2"/>
  <c r="M14" i="7" l="1"/>
  <c r="J14" i="7"/>
  <c r="N14" i="7"/>
  <c r="O14" i="7"/>
  <c r="F5" i="2"/>
  <c r="G5" i="2" s="1"/>
  <c r="F6" i="2"/>
  <c r="G6" i="2" s="1"/>
  <c r="F7" i="2"/>
  <c r="G7" i="2" s="1"/>
  <c r="F8" i="2"/>
  <c r="H8" i="2" s="1"/>
  <c r="F9" i="2"/>
  <c r="H9" i="2" s="1"/>
  <c r="F10" i="2"/>
  <c r="G10" i="2" s="1"/>
  <c r="F4" i="2"/>
  <c r="H4" i="2" s="1"/>
  <c r="E12" i="2"/>
  <c r="F12" i="2" s="1"/>
  <c r="G12" i="2" s="1"/>
  <c r="E13" i="2"/>
  <c r="F13" i="2" s="1"/>
  <c r="E14" i="2"/>
  <c r="F14" i="2" s="1"/>
  <c r="E15" i="2"/>
  <c r="F15" i="2" s="1"/>
  <c r="E16" i="2"/>
  <c r="F16" i="2" s="1"/>
  <c r="E17" i="2"/>
  <c r="F17" i="2" s="1"/>
  <c r="E18" i="2"/>
  <c r="F18" i="2" s="1"/>
  <c r="H18" i="2" s="1"/>
  <c r="E19" i="2"/>
  <c r="F19" i="2" s="1"/>
  <c r="G19" i="2" s="1"/>
  <c r="E20" i="2"/>
  <c r="F20" i="2" s="1"/>
  <c r="E21" i="2"/>
  <c r="F21" i="2" s="1"/>
  <c r="E22" i="2"/>
  <c r="F22" i="2" s="1"/>
  <c r="E23" i="2"/>
  <c r="F23" i="2" s="1"/>
  <c r="G23" i="2" s="1"/>
  <c r="E24" i="2"/>
  <c r="F24" i="2" s="1"/>
  <c r="H24" i="2" s="1"/>
  <c r="E25" i="2"/>
  <c r="F25" i="2" s="1"/>
  <c r="E26" i="2"/>
  <c r="F26" i="2" s="1"/>
  <c r="E27" i="2"/>
  <c r="F27" i="2" s="1"/>
  <c r="E28" i="2"/>
  <c r="F28" i="2" s="1"/>
  <c r="E29" i="2"/>
  <c r="F29" i="2" s="1"/>
  <c r="E30" i="2"/>
  <c r="F30" i="2" s="1"/>
  <c r="H30" i="2" s="1"/>
  <c r="E31" i="2"/>
  <c r="F31" i="2" s="1"/>
  <c r="G31" i="2" s="1"/>
  <c r="E32" i="2"/>
  <c r="F32" i="2" s="1"/>
  <c r="E33" i="2"/>
  <c r="F33" i="2" s="1"/>
  <c r="E34" i="2"/>
  <c r="F34" i="2" s="1"/>
  <c r="E35" i="2"/>
  <c r="F35" i="2" s="1"/>
  <c r="G35" i="2" s="1"/>
  <c r="E36" i="2"/>
  <c r="F36" i="2" s="1"/>
  <c r="G36" i="2" s="1"/>
  <c r="E37" i="2"/>
  <c r="F37" i="2" s="1"/>
  <c r="E38" i="2"/>
  <c r="F38" i="2" s="1"/>
  <c r="E39" i="2"/>
  <c r="F39" i="2" s="1"/>
  <c r="E40" i="2"/>
  <c r="F40" i="2" s="1"/>
  <c r="E41" i="2"/>
  <c r="F41" i="2" s="1"/>
  <c r="E42" i="2"/>
  <c r="F42" i="2" s="1"/>
  <c r="H42" i="2" s="1"/>
  <c r="E43" i="2"/>
  <c r="F43" i="2" s="1"/>
  <c r="G43" i="2" s="1"/>
  <c r="E44" i="2"/>
  <c r="F44" i="2" s="1"/>
  <c r="E45" i="2"/>
  <c r="F45" i="2" s="1"/>
  <c r="E46" i="2"/>
  <c r="F46" i="2" s="1"/>
  <c r="E47" i="2"/>
  <c r="F47" i="2" s="1"/>
  <c r="G47" i="2" s="1"/>
  <c r="E48" i="2"/>
  <c r="F48" i="2" s="1"/>
  <c r="H48" i="2" s="1"/>
  <c r="E49" i="2"/>
  <c r="F49" i="2" s="1"/>
  <c r="E50" i="2"/>
  <c r="F50" i="2" s="1"/>
  <c r="E51" i="2"/>
  <c r="F51" i="2" s="1"/>
  <c r="E52" i="2"/>
  <c r="F52" i="2" s="1"/>
  <c r="E53" i="2"/>
  <c r="F53" i="2" s="1"/>
  <c r="E54" i="2"/>
  <c r="F54" i="2" s="1"/>
  <c r="H54" i="2" s="1"/>
  <c r="E55" i="2"/>
  <c r="F55" i="2" s="1"/>
  <c r="G55" i="2" s="1"/>
  <c r="E56" i="2"/>
  <c r="F56" i="2" s="1"/>
  <c r="E57" i="2"/>
  <c r="F57" i="2" s="1"/>
  <c r="E58" i="2"/>
  <c r="F58" i="2" s="1"/>
  <c r="E59" i="2"/>
  <c r="F59" i="2" s="1"/>
  <c r="G59" i="2" s="1"/>
  <c r="E11" i="2"/>
  <c r="F11" i="2" s="1"/>
  <c r="G11" i="2" s="1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4" i="2"/>
  <c r="M5" i="2"/>
  <c r="M17" i="2"/>
  <c r="M6" i="2"/>
  <c r="M18" i="2"/>
  <c r="M30" i="2"/>
  <c r="M42" i="2"/>
  <c r="M54" i="2"/>
  <c r="M36" i="2"/>
  <c r="M13" i="2"/>
  <c r="M14" i="2"/>
  <c r="M15" i="2"/>
  <c r="M51" i="2"/>
  <c r="M40" i="2"/>
  <c r="M29" i="2"/>
  <c r="M7" i="2"/>
  <c r="M19" i="2"/>
  <c r="M31" i="2"/>
  <c r="M43" i="2"/>
  <c r="M55" i="2"/>
  <c r="M21" i="2"/>
  <c r="M57" i="2"/>
  <c r="M10" i="2"/>
  <c r="M34" i="2"/>
  <c r="M58" i="2"/>
  <c r="M23" i="2"/>
  <c r="M47" i="2"/>
  <c r="M12" i="2"/>
  <c r="M37" i="2"/>
  <c r="M38" i="2"/>
  <c r="M27" i="2"/>
  <c r="M16" i="2"/>
  <c r="M41" i="2"/>
  <c r="M8" i="2"/>
  <c r="M20" i="2"/>
  <c r="M32" i="2"/>
  <c r="M44" i="2"/>
  <c r="M56" i="2"/>
  <c r="M9" i="2"/>
  <c r="M33" i="2"/>
  <c r="M45" i="2"/>
  <c r="M22" i="2"/>
  <c r="M46" i="2"/>
  <c r="M11" i="2"/>
  <c r="M35" i="2"/>
  <c r="M59" i="2"/>
  <c r="M24" i="2"/>
  <c r="M48" i="2"/>
  <c r="M25" i="2"/>
  <c r="M49" i="2"/>
  <c r="M26" i="2"/>
  <c r="M50" i="2"/>
  <c r="M39" i="2"/>
  <c r="M28" i="2"/>
  <c r="M52" i="2"/>
  <c r="M53" i="2"/>
  <c r="M4" i="2"/>
  <c r="K14" i="7" l="1"/>
  <c r="P14" i="7"/>
  <c r="L14" i="7"/>
  <c r="N4" i="2"/>
  <c r="N53" i="2"/>
  <c r="N52" i="2"/>
  <c r="N28" i="2"/>
  <c r="N39" i="2"/>
  <c r="N50" i="2"/>
  <c r="N26" i="2"/>
  <c r="N49" i="2"/>
  <c r="N25" i="2"/>
  <c r="N48" i="2"/>
  <c r="N24" i="2"/>
  <c r="N59" i="2"/>
  <c r="N35" i="2"/>
  <c r="N11" i="2"/>
  <c r="N46" i="2"/>
  <c r="N22" i="2"/>
  <c r="N45" i="2"/>
  <c r="N33" i="2"/>
  <c r="N9" i="2"/>
  <c r="N56" i="2"/>
  <c r="N44" i="2"/>
  <c r="N32" i="2"/>
  <c r="N20" i="2"/>
  <c r="N8" i="2"/>
  <c r="N41" i="2"/>
  <c r="N16" i="2"/>
  <c r="N27" i="2"/>
  <c r="N38" i="2"/>
  <c r="N37" i="2"/>
  <c r="N12" i="2"/>
  <c r="N47" i="2"/>
  <c r="N23" i="2"/>
  <c r="N58" i="2"/>
  <c r="N34" i="2"/>
  <c r="N10" i="2"/>
  <c r="N57" i="2"/>
  <c r="N21" i="2"/>
  <c r="N55" i="2"/>
  <c r="N43" i="2"/>
  <c r="N31" i="2"/>
  <c r="N19" i="2"/>
  <c r="N7" i="2"/>
  <c r="N29" i="2"/>
  <c r="N40" i="2"/>
  <c r="N51" i="2"/>
  <c r="N15" i="2"/>
  <c r="N14" i="2"/>
  <c r="N13" i="2"/>
  <c r="N36" i="2"/>
  <c r="N54" i="2"/>
  <c r="N42" i="2"/>
  <c r="N30" i="2"/>
  <c r="N18" i="2"/>
  <c r="N6" i="2"/>
  <c r="N17" i="2"/>
  <c r="N5" i="2"/>
  <c r="U5" i="2"/>
  <c r="I11" i="2" s="1"/>
  <c r="J11" i="2" s="1"/>
  <c r="L11" i="2" s="1"/>
  <c r="U7" i="2"/>
  <c r="I34" i="2" s="1"/>
  <c r="J34" i="2" s="1"/>
  <c r="L34" i="2" s="1"/>
  <c r="U8" i="2"/>
  <c r="I14" i="2" s="1"/>
  <c r="J14" i="2" s="1"/>
  <c r="L14" i="2" s="1"/>
  <c r="U9" i="2"/>
  <c r="I15" i="2" s="1"/>
  <c r="J15" i="2" s="1"/>
  <c r="L15" i="2" s="1"/>
  <c r="U10" i="2"/>
  <c r="I58" i="2" s="1"/>
  <c r="J58" i="2" s="1"/>
  <c r="L58" i="2" s="1"/>
  <c r="U4" i="2"/>
  <c r="I38" i="2" s="1"/>
  <c r="J38" i="2" s="1"/>
  <c r="L38" i="2" s="1"/>
  <c r="U6" i="2"/>
  <c r="I26" i="2" s="1"/>
  <c r="J26" i="2" s="1"/>
  <c r="L26" i="2" s="1"/>
  <c r="G9" i="2"/>
  <c r="G8" i="2"/>
  <c r="G51" i="2"/>
  <c r="H51" i="2"/>
  <c r="H15" i="2"/>
  <c r="G15" i="2"/>
  <c r="H14" i="2"/>
  <c r="G14" i="2"/>
  <c r="G13" i="2"/>
  <c r="H13" i="2"/>
  <c r="G39" i="2"/>
  <c r="H39" i="2"/>
  <c r="G50" i="2"/>
  <c r="H50" i="2"/>
  <c r="G26" i="2"/>
  <c r="H26" i="2"/>
  <c r="H49" i="2"/>
  <c r="G49" i="2"/>
  <c r="H25" i="2"/>
  <c r="G25" i="2"/>
  <c r="G58" i="2"/>
  <c r="H58" i="2"/>
  <c r="G34" i="2"/>
  <c r="H34" i="2"/>
  <c r="G22" i="2"/>
  <c r="H22" i="2"/>
  <c r="H57" i="2"/>
  <c r="G57" i="2"/>
  <c r="H21" i="2"/>
  <c r="G21" i="2"/>
  <c r="G56" i="2"/>
  <c r="H56" i="2"/>
  <c r="G44" i="2"/>
  <c r="H44" i="2"/>
  <c r="G20" i="2"/>
  <c r="H20" i="2"/>
  <c r="G53" i="2"/>
  <c r="H53" i="2"/>
  <c r="G41" i="2"/>
  <c r="H41" i="2"/>
  <c r="G17" i="2"/>
  <c r="H17" i="2"/>
  <c r="G27" i="2"/>
  <c r="H27" i="2"/>
  <c r="G38" i="2"/>
  <c r="H38" i="2"/>
  <c r="G37" i="2"/>
  <c r="H37" i="2"/>
  <c r="G46" i="2"/>
  <c r="H46" i="2"/>
  <c r="H45" i="2"/>
  <c r="G45" i="2"/>
  <c r="G33" i="2"/>
  <c r="H33" i="2"/>
  <c r="G32" i="2"/>
  <c r="H32" i="2"/>
  <c r="G29" i="2"/>
  <c r="H29" i="2"/>
  <c r="H52" i="2"/>
  <c r="G52" i="2"/>
  <c r="H40" i="2"/>
  <c r="G40" i="2"/>
  <c r="H28" i="2"/>
  <c r="G28" i="2"/>
  <c r="H16" i="2"/>
  <c r="G16" i="2"/>
  <c r="H12" i="2"/>
  <c r="H36" i="2"/>
  <c r="G4" i="2"/>
  <c r="G48" i="2"/>
  <c r="G24" i="2"/>
  <c r="H59" i="2"/>
  <c r="H47" i="2"/>
  <c r="H35" i="2"/>
  <c r="H23" i="2"/>
  <c r="H11" i="2"/>
  <c r="H10" i="2"/>
  <c r="H7" i="2"/>
  <c r="H6" i="2"/>
  <c r="G54" i="2"/>
  <c r="G42" i="2"/>
  <c r="G30" i="2"/>
  <c r="G18" i="2"/>
  <c r="H5" i="2"/>
  <c r="H55" i="2"/>
  <c r="H43" i="2"/>
  <c r="H31" i="2"/>
  <c r="H19" i="2"/>
  <c r="J15" i="7" l="1"/>
  <c r="M15" i="7"/>
  <c r="N15" i="7" s="1"/>
  <c r="K15" i="7" s="1"/>
  <c r="P15" i="7"/>
  <c r="L15" i="7"/>
  <c r="I10" i="2"/>
  <c r="J10" i="2" s="1"/>
  <c r="L10" i="2" s="1"/>
  <c r="I28" i="2"/>
  <c r="J28" i="2" s="1"/>
  <c r="L28" i="2" s="1"/>
  <c r="I23" i="2"/>
  <c r="J23" i="2" s="1"/>
  <c r="L23" i="2" s="1"/>
  <c r="I21" i="2"/>
  <c r="J21" i="2" s="1"/>
  <c r="L21" i="2" s="1"/>
  <c r="I35" i="2"/>
  <c r="J35" i="2" s="1"/>
  <c r="L35" i="2" s="1"/>
  <c r="I39" i="2"/>
  <c r="J39" i="2" s="1"/>
  <c r="L39" i="2" s="1"/>
  <c r="I51" i="2"/>
  <c r="J51" i="2" s="1"/>
  <c r="L51" i="2" s="1"/>
  <c r="I33" i="2"/>
  <c r="J33" i="2" s="1"/>
  <c r="L33" i="2" s="1"/>
  <c r="I47" i="2"/>
  <c r="J47" i="2" s="1"/>
  <c r="L47" i="2" s="1"/>
  <c r="I45" i="2"/>
  <c r="J45" i="2" s="1"/>
  <c r="L45" i="2" s="1"/>
  <c r="I59" i="2"/>
  <c r="J59" i="2" s="1"/>
  <c r="L59" i="2" s="1"/>
  <c r="I16" i="2"/>
  <c r="J16" i="2" s="1"/>
  <c r="L16" i="2" s="1"/>
  <c r="I52" i="2"/>
  <c r="J52" i="2" s="1"/>
  <c r="L52" i="2" s="1"/>
  <c r="I4" i="2"/>
  <c r="J4" i="2" s="1"/>
  <c r="I13" i="2"/>
  <c r="J13" i="2" s="1"/>
  <c r="L13" i="2" s="1"/>
  <c r="I48" i="2"/>
  <c r="J48" i="2" s="1"/>
  <c r="L48" i="2" s="1"/>
  <c r="I25" i="2"/>
  <c r="J25" i="2" s="1"/>
  <c r="L25" i="2" s="1"/>
  <c r="I37" i="2"/>
  <c r="J37" i="2" s="1"/>
  <c r="L37" i="2" s="1"/>
  <c r="I49" i="2"/>
  <c r="J49" i="2" s="1"/>
  <c r="L49" i="2" s="1"/>
  <c r="I9" i="2"/>
  <c r="J9" i="2" s="1"/>
  <c r="L9" i="2" s="1"/>
  <c r="I40" i="2"/>
  <c r="J40" i="2" s="1"/>
  <c r="L40" i="2" s="1"/>
  <c r="I46" i="2"/>
  <c r="J46" i="2" s="1"/>
  <c r="L46" i="2" s="1"/>
  <c r="O15" i="2"/>
  <c r="P15" i="2"/>
  <c r="O48" i="2"/>
  <c r="P48" i="2"/>
  <c r="O51" i="2"/>
  <c r="P51" i="2"/>
  <c r="P25" i="2"/>
  <c r="O25" i="2"/>
  <c r="P40" i="2"/>
  <c r="O40" i="2"/>
  <c r="P49" i="2"/>
  <c r="O49" i="2"/>
  <c r="P17" i="2"/>
  <c r="O17" i="2"/>
  <c r="P29" i="2"/>
  <c r="O29" i="2"/>
  <c r="O26" i="2"/>
  <c r="P26" i="2"/>
  <c r="P7" i="2"/>
  <c r="O7" i="2"/>
  <c r="O50" i="2"/>
  <c r="P50" i="2"/>
  <c r="P18" i="2"/>
  <c r="O18" i="2"/>
  <c r="O45" i="2"/>
  <c r="P45" i="2"/>
  <c r="P31" i="2"/>
  <c r="O31" i="2"/>
  <c r="O22" i="2"/>
  <c r="P22" i="2"/>
  <c r="I5" i="2"/>
  <c r="J5" i="2" s="1"/>
  <c r="L5" i="2" s="1"/>
  <c r="I19" i="2"/>
  <c r="J19" i="2" s="1"/>
  <c r="L19" i="2" s="1"/>
  <c r="I54" i="2"/>
  <c r="J54" i="2" s="1"/>
  <c r="L54" i="2" s="1"/>
  <c r="I7" i="2"/>
  <c r="J7" i="2" s="1"/>
  <c r="L7" i="2" s="1"/>
  <c r="I42" i="2"/>
  <c r="J42" i="2" s="1"/>
  <c r="L42" i="2" s="1"/>
  <c r="I56" i="2"/>
  <c r="J56" i="2" s="1"/>
  <c r="L56" i="2" s="1"/>
  <c r="I12" i="2"/>
  <c r="J12" i="2" s="1"/>
  <c r="L12" i="2" s="1"/>
  <c r="I50" i="2"/>
  <c r="J50" i="2" s="1"/>
  <c r="L50" i="2" s="1"/>
  <c r="P42" i="2"/>
  <c r="O42" i="2"/>
  <c r="P43" i="2"/>
  <c r="O43" i="2"/>
  <c r="O27" i="2"/>
  <c r="P27" i="2"/>
  <c r="O46" i="2"/>
  <c r="P46" i="2"/>
  <c r="P52" i="2"/>
  <c r="O52" i="2"/>
  <c r="O57" i="2"/>
  <c r="P57" i="2"/>
  <c r="O59" i="2"/>
  <c r="P59" i="2"/>
  <c r="O10" i="2"/>
  <c r="P10" i="2"/>
  <c r="O20" i="2"/>
  <c r="P20" i="2"/>
  <c r="I22" i="2"/>
  <c r="J22" i="2" s="1"/>
  <c r="L22" i="2" s="1"/>
  <c r="O34" i="2"/>
  <c r="P34" i="2"/>
  <c r="O44" i="2"/>
  <c r="P44" i="2"/>
  <c r="O56" i="2"/>
  <c r="P56" i="2"/>
  <c r="O9" i="2"/>
  <c r="P9" i="2"/>
  <c r="P6" i="2"/>
  <c r="O6" i="2"/>
  <c r="O33" i="2"/>
  <c r="P33" i="2"/>
  <c r="P19" i="2"/>
  <c r="O19" i="2"/>
  <c r="O39" i="2"/>
  <c r="P39" i="2"/>
  <c r="I57" i="2"/>
  <c r="J57" i="2" s="1"/>
  <c r="L57" i="2" s="1"/>
  <c r="P30" i="2"/>
  <c r="O30" i="2"/>
  <c r="P28" i="2"/>
  <c r="O28" i="2"/>
  <c r="I17" i="2"/>
  <c r="J17" i="2" s="1"/>
  <c r="L17" i="2" s="1"/>
  <c r="I31" i="2"/>
  <c r="J31" i="2" s="1"/>
  <c r="L31" i="2" s="1"/>
  <c r="I41" i="2"/>
  <c r="J41" i="2" s="1"/>
  <c r="L41" i="2" s="1"/>
  <c r="I20" i="2"/>
  <c r="J20" i="2" s="1"/>
  <c r="L20" i="2" s="1"/>
  <c r="I55" i="2"/>
  <c r="J55" i="2" s="1"/>
  <c r="L55" i="2" s="1"/>
  <c r="I6" i="2"/>
  <c r="J6" i="2" s="1"/>
  <c r="L6" i="2" s="1"/>
  <c r="I24" i="2"/>
  <c r="J24" i="2" s="1"/>
  <c r="L24" i="2" s="1"/>
  <c r="P54" i="2"/>
  <c r="O54" i="2"/>
  <c r="P55" i="2"/>
  <c r="O55" i="2"/>
  <c r="O16" i="2"/>
  <c r="P16" i="2"/>
  <c r="O11" i="2"/>
  <c r="P11" i="2"/>
  <c r="P53" i="2"/>
  <c r="O53" i="2"/>
  <c r="I29" i="2"/>
  <c r="J29" i="2" s="1"/>
  <c r="L29" i="2" s="1"/>
  <c r="I43" i="2"/>
  <c r="J43" i="2" s="1"/>
  <c r="L43" i="2" s="1"/>
  <c r="I8" i="2"/>
  <c r="J8" i="2" s="1"/>
  <c r="L8" i="2" s="1"/>
  <c r="O13" i="2"/>
  <c r="P13" i="2"/>
  <c r="O8" i="2"/>
  <c r="P8" i="2"/>
  <c r="L4" i="2"/>
  <c r="O14" i="2"/>
  <c r="P14" i="2"/>
  <c r="O24" i="2"/>
  <c r="P24" i="2"/>
  <c r="O32" i="2"/>
  <c r="P32" i="2"/>
  <c r="O58" i="2"/>
  <c r="P58" i="2"/>
  <c r="P5" i="2"/>
  <c r="O5" i="2"/>
  <c r="O23" i="2"/>
  <c r="P23" i="2"/>
  <c r="O47" i="2"/>
  <c r="P47" i="2"/>
  <c r="O12" i="2"/>
  <c r="P12" i="2"/>
  <c r="P37" i="2"/>
  <c r="O37" i="2"/>
  <c r="O38" i="2"/>
  <c r="P38" i="2"/>
  <c r="I30" i="2"/>
  <c r="J30" i="2" s="1"/>
  <c r="L30" i="2" s="1"/>
  <c r="I44" i="2"/>
  <c r="J44" i="2" s="1"/>
  <c r="L44" i="2" s="1"/>
  <c r="I53" i="2"/>
  <c r="J53" i="2" s="1"/>
  <c r="I18" i="2"/>
  <c r="J18" i="2" s="1"/>
  <c r="L18" i="2" s="1"/>
  <c r="I32" i="2"/>
  <c r="J32" i="2" s="1"/>
  <c r="L32" i="2" s="1"/>
  <c r="I36" i="2"/>
  <c r="J36" i="2" s="1"/>
  <c r="L36" i="2" s="1"/>
  <c r="I27" i="2"/>
  <c r="J27" i="2" s="1"/>
  <c r="L27" i="2" s="1"/>
  <c r="O36" i="2"/>
  <c r="P36" i="2"/>
  <c r="O21" i="2"/>
  <c r="P21" i="2"/>
  <c r="P41" i="2"/>
  <c r="O41" i="2"/>
  <c r="O35" i="2"/>
  <c r="P35" i="2"/>
  <c r="O4" i="2"/>
  <c r="P4" i="2"/>
  <c r="O15" i="7" l="1"/>
  <c r="M16" i="7"/>
  <c r="J16" i="7"/>
  <c r="N16" i="7"/>
  <c r="O16" i="7"/>
  <c r="Z6" i="2"/>
  <c r="L53" i="2"/>
  <c r="AA6" i="2" s="1"/>
  <c r="AA4" i="2"/>
  <c r="Z4" i="2"/>
  <c r="K4" i="2" a="1"/>
  <c r="K16" i="7" l="1"/>
  <c r="P16" i="7"/>
  <c r="L16" i="7"/>
  <c r="K4" i="2"/>
  <c r="Z5" i="2" s="1"/>
  <c r="AA5" i="2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L32" i="1"/>
  <c r="AC8" i="1"/>
  <c r="M17" i="7" l="1"/>
  <c r="N17" i="7" s="1"/>
  <c r="J17" i="7"/>
  <c r="AA10" i="1"/>
  <c r="Z5" i="1"/>
  <c r="W9" i="1"/>
  <c r="AB7" i="1"/>
  <c r="AC7" i="1"/>
  <c r="Y10" i="1"/>
  <c r="AD8" i="1"/>
  <c r="AA5" i="1"/>
  <c r="AD7" i="1"/>
  <c r="AA9" i="1"/>
  <c r="Y11" i="1"/>
  <c r="AC6" i="1"/>
  <c r="AA8" i="1"/>
  <c r="AB10" i="1"/>
  <c r="Y7" i="1"/>
  <c r="AA7" i="1"/>
  <c r="Y9" i="1"/>
  <c r="AA6" i="1"/>
  <c r="Y8" i="1"/>
  <c r="Y6" i="1"/>
  <c r="AD6" i="1"/>
  <c r="Z10" i="1"/>
  <c r="AD5" i="1"/>
  <c r="X11" i="1"/>
  <c r="AB6" i="1"/>
  <c r="X10" i="1"/>
  <c r="AC9" i="1"/>
  <c r="AA11" i="1"/>
  <c r="Z6" i="1"/>
  <c r="Z11" i="1"/>
  <c r="Y5" i="1"/>
  <c r="AC11" i="1"/>
  <c r="Z8" i="1"/>
  <c r="AC10" i="1"/>
  <c r="AB5" i="1"/>
  <c r="Z7" i="1"/>
  <c r="AC5" i="1"/>
  <c r="AB11" i="1"/>
  <c r="AI8" i="1" a="1"/>
  <c r="AI8" i="1" s="1"/>
  <c r="AB9" i="1"/>
  <c r="AB8" i="1"/>
  <c r="Z9" i="1"/>
  <c r="O17" i="7" l="1"/>
  <c r="P17" i="7"/>
  <c r="K17" i="7"/>
  <c r="L17" i="7"/>
  <c r="X7" i="1"/>
  <c r="AE7" i="1" s="1"/>
  <c r="X5" i="1"/>
  <c r="AE5" i="1" s="1"/>
  <c r="X9" i="1"/>
  <c r="AE9" i="1" s="1"/>
  <c r="AI9" i="1" a="1"/>
  <c r="AI9" i="1" s="1"/>
  <c r="W11" i="1"/>
  <c r="AE11" i="1" s="1"/>
  <c r="AI6" i="1" a="1"/>
  <c r="AI6" i="1" s="1"/>
  <c r="X6" i="1"/>
  <c r="AE6" i="1" s="1"/>
  <c r="AI5" i="1" a="1"/>
  <c r="AI5" i="1" s="1"/>
  <c r="X8" i="1"/>
  <c r="AE8" i="1" s="1"/>
  <c r="AI7" i="1" a="1"/>
  <c r="AI7" i="1" s="1"/>
  <c r="W10" i="1"/>
  <c r="AE10" i="1" s="1"/>
  <c r="AI4" i="1" a="1"/>
  <c r="AI4" i="1" s="1"/>
  <c r="M18" i="7" l="1"/>
  <c r="N18" i="7" s="1"/>
  <c r="B16" i="7" s="1"/>
  <c r="J18" i="7"/>
  <c r="O18" i="7" l="1"/>
  <c r="K18" i="7"/>
  <c r="P18" i="7"/>
  <c r="B15" i="7"/>
  <c r="B20" i="7" s="1"/>
  <c r="B18" i="7"/>
  <c r="L18" i="7"/>
  <c r="B9" i="7" l="1"/>
  <c r="B10" i="7"/>
  <c r="B8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<sst xmlns="http://schemas.openxmlformats.org/spreadsheetml/2006/main" count="305" uniqueCount="228">
  <si>
    <t>New Subscription Calls</t>
  </si>
  <si>
    <t>Date</t>
  </si>
  <si>
    <t>New Calls</t>
  </si>
  <si>
    <t>CMA</t>
  </si>
  <si>
    <t>Mon</t>
  </si>
  <si>
    <t>Tue</t>
  </si>
  <si>
    <t>Wed</t>
  </si>
  <si>
    <t>Thu</t>
  </si>
  <si>
    <t>Fri</t>
  </si>
  <si>
    <t>Sat</t>
  </si>
  <si>
    <t>Sun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</si>
  <si>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</si>
  <si>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</si>
  <si>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</si>
  <si>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</si>
  <si>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</si>
  <si>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</si>
  <si>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</si>
  <si>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</si>
  <si>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2.a</t>
  </si>
  <si>
    <t>2.b</t>
  </si>
  <si>
    <t>2.c</t>
  </si>
  <si>
    <t>Day</t>
  </si>
  <si>
    <t>Median</t>
  </si>
  <si>
    <t>Total</t>
  </si>
  <si>
    <t>Detrend Value</t>
  </si>
  <si>
    <t>Navie Error</t>
  </si>
  <si>
    <t>Average Forecast</t>
  </si>
  <si>
    <t>Average Error</t>
  </si>
  <si>
    <t>Average Absolute Error</t>
  </si>
  <si>
    <t>Average Squared Error</t>
  </si>
  <si>
    <t>Exponential Smoothing Forecast</t>
  </si>
  <si>
    <t>Exponential Smoothing Error</t>
  </si>
  <si>
    <t>Exponential Smoothing Absolute Error</t>
  </si>
  <si>
    <t>Exponential Smoothing Squared Error</t>
  </si>
  <si>
    <t>Seasonal</t>
  </si>
  <si>
    <t>Day Number(Sunday=1)</t>
  </si>
  <si>
    <t>Naive Squared Error</t>
  </si>
  <si>
    <t>Naive Forest</t>
  </si>
  <si>
    <t>Naive Absolute Error</t>
  </si>
  <si>
    <t>Week Day</t>
  </si>
  <si>
    <t>Average No.of Calls (Untill Jun 18)</t>
  </si>
  <si>
    <t>Metric</t>
  </si>
  <si>
    <t>ME</t>
  </si>
  <si>
    <t>MAE</t>
  </si>
  <si>
    <t>RMSE</t>
  </si>
  <si>
    <t>Naïve ( Out Sample)</t>
  </si>
  <si>
    <t>Naïve (In Sample)</t>
  </si>
  <si>
    <t>Average (In Sample)</t>
  </si>
  <si>
    <t>Avearage (Out Sample)</t>
  </si>
  <si>
    <t>Exponential Smoothing  (In Sample)</t>
  </si>
  <si>
    <t>Random Installation</t>
  </si>
  <si>
    <t>Sim Installation</t>
  </si>
  <si>
    <t>Initial Cost</t>
  </si>
  <si>
    <t>Order Quantity</t>
  </si>
  <si>
    <t>Holding Cost per Box</t>
  </si>
  <si>
    <t>Ordering Cost per box</t>
  </si>
  <si>
    <t>Backorder per box per day</t>
  </si>
  <si>
    <t>Random Seed (Student ID)</t>
  </si>
  <si>
    <t>Number of Installations</t>
  </si>
  <si>
    <t>Probability</t>
  </si>
  <si>
    <t>Cumulative</t>
  </si>
  <si>
    <t>Number of Boxes</t>
  </si>
  <si>
    <t>Installations</t>
  </si>
  <si>
    <t>Boxes per Istallation</t>
  </si>
  <si>
    <t>Random Box Type</t>
  </si>
  <si>
    <t>Sim Boxes for installation</t>
  </si>
  <si>
    <t>Overall Daily Demand</t>
  </si>
  <si>
    <t>Starting Inventory</t>
  </si>
  <si>
    <t>Today Received Orders</t>
  </si>
  <si>
    <t>Avaiable Inventory</t>
  </si>
  <si>
    <t>Carried In Backorders</t>
  </si>
  <si>
    <t>Fullfilled Backorders</t>
  </si>
  <si>
    <t>Inventory After Backorders</t>
  </si>
  <si>
    <t>Backorders Created</t>
  </si>
  <si>
    <t>Backorders Carriedout</t>
  </si>
  <si>
    <t>Ending Inventory Before Order</t>
  </si>
  <si>
    <t>Order Placed</t>
  </si>
  <si>
    <t>Order Received Tomorrow</t>
  </si>
  <si>
    <t>Closing Inventing After Order</t>
  </si>
  <si>
    <t>Holding Cost</t>
  </si>
  <si>
    <t>Ordering Cost</t>
  </si>
  <si>
    <t>Backorder Cost</t>
  </si>
  <si>
    <t>Total Daily Costs</t>
  </si>
  <si>
    <t>Demand Fullfilled</t>
  </si>
  <si>
    <t>Inventory Status (&lt;2)</t>
  </si>
  <si>
    <t>These are the Seeded Random Values for Task 4</t>
  </si>
  <si>
    <t>Engineer/Customer</t>
  </si>
  <si>
    <t>Job 1</t>
  </si>
  <si>
    <t xml:space="preserve">Job 2 </t>
  </si>
  <si>
    <t>Job 3</t>
  </si>
  <si>
    <t>Job 4</t>
  </si>
  <si>
    <t>Job 5</t>
  </si>
  <si>
    <t>Tom</t>
  </si>
  <si>
    <t>Bob</t>
  </si>
  <si>
    <t>Paul</t>
  </si>
  <si>
    <t>Steve</t>
  </si>
  <si>
    <t>Lucas</t>
  </si>
  <si>
    <t>Job 2</t>
  </si>
  <si>
    <t>Total Distance</t>
  </si>
  <si>
    <t>Job Assignment Constraints</t>
  </si>
  <si>
    <t>Required Sum</t>
  </si>
  <si>
    <t>Sum of Assignment for Each Job</t>
  </si>
  <si>
    <t>Microsoft Excel 16.0 Answer Report</t>
  </si>
  <si>
    <t>Worksheet: [Assignment_2_data.xlsm]Sheet2</t>
  </si>
  <si>
    <t>Report Created: 06/05/2025 18:08:14</t>
  </si>
  <si>
    <t>Result: Solver found a solution.  All Constraints and optimality conditions are satisfied.</t>
  </si>
  <si>
    <t>Solver Engine</t>
  </si>
  <si>
    <t>Engine: Simplex LP</t>
  </si>
  <si>
    <t>Solution Time: 0.14 Seconds.</t>
  </si>
  <si>
    <t>Iterations: 12 Subproblems: 0</t>
  </si>
  <si>
    <t>Solver Options</t>
  </si>
  <si>
    <t>Max Time Unlimited,  Iterations Unlimited, Precision 0.000001</t>
  </si>
  <si>
    <t>Max Subproblems Unlimited, Max Integer Sols Unlimited, Integer Tolerance 1%, Assume NonNegative</t>
  </si>
  <si>
    <t>Objective Cell (Min)</t>
  </si>
  <si>
    <t>Cell</t>
  </si>
  <si>
    <t>Name</t>
  </si>
  <si>
    <t>Original Value</t>
  </si>
  <si>
    <t>Final Value</t>
  </si>
  <si>
    <t>Variable Cells</t>
  </si>
  <si>
    <t>Integer</t>
  </si>
  <si>
    <t>Constraints</t>
  </si>
  <si>
    <t>Cell Value</t>
  </si>
  <si>
    <t>Formula</t>
  </si>
  <si>
    <t>Status</t>
  </si>
  <si>
    <t>Slack</t>
  </si>
  <si>
    <t>$B$16</t>
  </si>
  <si>
    <t>Total Distance Job 1</t>
  </si>
  <si>
    <t>$B$10</t>
  </si>
  <si>
    <t>Tom Job 1</t>
  </si>
  <si>
    <t>$C$10</t>
  </si>
  <si>
    <t>Tom Job 2</t>
  </si>
  <si>
    <t>$D$10</t>
  </si>
  <si>
    <t>Tom Job 3</t>
  </si>
  <si>
    <t>$E$10</t>
  </si>
  <si>
    <t>Tom Job 4</t>
  </si>
  <si>
    <t>$F$10</t>
  </si>
  <si>
    <t>Tom Job 5</t>
  </si>
  <si>
    <t>$B$11</t>
  </si>
  <si>
    <t>Bob Job 1</t>
  </si>
  <si>
    <t>$C$11</t>
  </si>
  <si>
    <t>Bob Job 2</t>
  </si>
  <si>
    <t>$D$11</t>
  </si>
  <si>
    <t>Bob Job 3</t>
  </si>
  <si>
    <t>$E$11</t>
  </si>
  <si>
    <t>Bob Job 4</t>
  </si>
  <si>
    <t>$F$11</t>
  </si>
  <si>
    <t>Bob Job 5</t>
  </si>
  <si>
    <t>$B$12</t>
  </si>
  <si>
    <t>Paul Job 1</t>
  </si>
  <si>
    <t>$C$12</t>
  </si>
  <si>
    <t>Paul Job 2</t>
  </si>
  <si>
    <t>$D$12</t>
  </si>
  <si>
    <t>Paul Job 3</t>
  </si>
  <si>
    <t>$E$12</t>
  </si>
  <si>
    <t>Paul Job 4</t>
  </si>
  <si>
    <t>$F$12</t>
  </si>
  <si>
    <t>Paul Job 5</t>
  </si>
  <si>
    <t>$B$13</t>
  </si>
  <si>
    <t>Steve Job 1</t>
  </si>
  <si>
    <t>$C$13</t>
  </si>
  <si>
    <t>Steve Job 2</t>
  </si>
  <si>
    <t>$D$13</t>
  </si>
  <si>
    <t>Steve Job 3</t>
  </si>
  <si>
    <t>$E$13</t>
  </si>
  <si>
    <t>Steve Job 4</t>
  </si>
  <si>
    <t>$F$13</t>
  </si>
  <si>
    <t>Steve Job 5</t>
  </si>
  <si>
    <t>$B$14</t>
  </si>
  <si>
    <t>Lucas Job 1</t>
  </si>
  <si>
    <t>$C$14</t>
  </si>
  <si>
    <t>Lucas Job 2</t>
  </si>
  <si>
    <t>$D$14</t>
  </si>
  <si>
    <t>Lucas Job 3</t>
  </si>
  <si>
    <t>$E$14</t>
  </si>
  <si>
    <t>Lucas Job 4</t>
  </si>
  <si>
    <t>$F$14</t>
  </si>
  <si>
    <t>Lucas Job 5</t>
  </si>
  <si>
    <t>$B$19</t>
  </si>
  <si>
    <t>Sum of Assignment for Each Job Job 1</t>
  </si>
  <si>
    <t>$B$19=$G$19</t>
  </si>
  <si>
    <t>Binding</t>
  </si>
  <si>
    <t>$C$19</t>
  </si>
  <si>
    <t>Sum of Assignment for Each Job Job 2</t>
  </si>
  <si>
    <t>$C$19=$G$19</t>
  </si>
  <si>
    <t>$D$19</t>
  </si>
  <si>
    <t>Sum of Assignment for Each Job Job 3</t>
  </si>
  <si>
    <t>$D$19=$G$19</t>
  </si>
  <si>
    <t>$E$19</t>
  </si>
  <si>
    <t>Sum of Assignment for Each Job Job 4</t>
  </si>
  <si>
    <t>$E$19=$G$19</t>
  </si>
  <si>
    <t>$F$19</t>
  </si>
  <si>
    <t>Sum of Assignment for Each Job Job 5</t>
  </si>
  <si>
    <t>$F$19=$G$19</t>
  </si>
  <si>
    <t>$B$10:$F$14=Binary</t>
  </si>
  <si>
    <t>Binary</t>
  </si>
  <si>
    <t>Total Costs</t>
  </si>
  <si>
    <t>Average Daily Costs</t>
  </si>
  <si>
    <t>Average Service Time</t>
  </si>
  <si>
    <t>Total Wait Time</t>
  </si>
  <si>
    <t>Average Wait Time</t>
  </si>
  <si>
    <t>Maximum Wait Time</t>
  </si>
  <si>
    <t>Total Wait Time Metrics</t>
  </si>
  <si>
    <t>Total Idle Time for Mechanic 1</t>
  </si>
  <si>
    <t>Total Idle Time for Mechanic 2</t>
  </si>
  <si>
    <t>Total Simulation Time</t>
  </si>
  <si>
    <t>Idle Time Percentage for Mechanic 1</t>
  </si>
  <si>
    <t>Vehicle Number</t>
  </si>
  <si>
    <t>Random Time Arrival</t>
  </si>
  <si>
    <t>Time Between Arrival</t>
  </si>
  <si>
    <t>Arrival Time</t>
  </si>
  <si>
    <t>Random Service Time</t>
  </si>
  <si>
    <t>Service Time</t>
  </si>
  <si>
    <t>Allocated Mechanic</t>
  </si>
  <si>
    <t>2nd Mechanic End Time</t>
  </si>
  <si>
    <t>1st Mechanic End Time</t>
  </si>
  <si>
    <t>Service Start Time</t>
  </si>
  <si>
    <t>Wait Time</t>
  </si>
  <si>
    <t>Service End Time</t>
  </si>
  <si>
    <t>Mechanic Duration</t>
  </si>
  <si>
    <t>Idle Time Percentage for Mechanic 2</t>
  </si>
  <si>
    <t>Peak Time for Mechanic 1</t>
  </si>
  <si>
    <t>Peak Time for Mechanic 2</t>
  </si>
  <si>
    <t>Total Mechanic Idle Metrics</t>
  </si>
  <si>
    <t>These are the Seeded Random Values for Task 6</t>
  </si>
  <si>
    <t>`</t>
  </si>
  <si>
    <t>Random Box type</t>
  </si>
  <si>
    <t>Day Number (Sunday=1)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</si>
</sst>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_-;\-* #,##0_-;_-* &quot;-&quot;??_-;_-@_-"/>
    <numFmt numFmtId="165" formatCode="_-* #,##0.0_-;\-* #,##0.0_-;_-* &quot;-&quot;??_-;_-@_-"/>
    <numFmt numFmtId="166" formatCode="0.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1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34998626667073579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2">
    <xf numFmtId="0" fontId="0" fillId="0" borderId="0" xfId="0"/>
    <xf numFmtId="0" fontId="3" fillId="2" borderId="0" xfId="0" applyFont="1" applyFill="1"/>
    <xf numFmtId="0" fontId="4" fillId="2" borderId="0" xfId="0" applyFont="1" applyFill="1"/>
    <xf numFmtId="0" fontId="3" fillId="2" borderId="0" xfId="0" applyFont="1" applyFill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Border="1" applyAlignment="1">
      <alignment horizontal="right"/>
    </xf>
    <xf numFmtId="16" fontId="3" fillId="0" borderId="1" xfId="0" applyNumberFormat="1" applyFont="1" applyBorder="1" applyAlignment="1">
      <alignment horizontal="left"/>
    </xf>
    <xf numFmtId="164" fontId="3" fillId="0" borderId="1" xfId="1" applyNumberFormat="1" applyFont="1" applyBorder="1" applyAlignment="1">
      <alignment horizontal="right"/>
    </xf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/>
    <xf numFmtId="164" fontId="3" fillId="2" borderId="1" xfId="0" applyNumberFormat="1" applyFont="1" applyFill="1" applyBorder="1" applyAlignment="1">
      <alignment horizontal="center"/>
    </xf>
    <xf numFmtId="164" fontId="3" fillId="2" borderId="1" xfId="0" applyNumberFormat="1" applyFont="1" applyFill="1" applyBorder="1"/>
    <xf numFmtId="165" fontId="3" fillId="2" borderId="0" xfId="0" applyNumberFormat="1" applyFont="1" applyFill="1"/>
    <xf numFmtId="0" fontId="3" fillId="2" borderId="2" xfId="0" applyFont="1" applyFill="1" applyBorder="1"/>
    <xf numFmtId="0" fontId="3" fillId="2" borderId="3" xfId="0" applyFont="1" applyFill="1" applyBorder="1"/>
    <xf numFmtId="0" fontId="3" fillId="2" borderId="4" xfId="0" applyFont="1" applyFill="1" applyBorder="1"/>
    <xf numFmtId="0" fontId="3" fillId="2" borderId="5" xfId="0" applyFont="1" applyFill="1" applyBorder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3" fillId="2" borderId="9" xfId="0" applyFont="1" applyFill="1" applyBorder="1"/>
    <xf numFmtId="0" fontId="3" fillId="2" borderId="10" xfId="0" applyFont="1" applyFill="1" applyBorder="1"/>
    <xf numFmtId="0" fontId="0" fillId="0" borderId="1" xfId="0" applyBorder="1"/>
    <xf numFmtId="164" fontId="3" fillId="0" borderId="11" xfId="1" applyNumberFormat="1" applyFont="1" applyBorder="1" applyAlignment="1">
      <alignment horizontal="right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right"/>
    </xf>
    <xf numFmtId="164" fontId="0" fillId="0" borderId="1" xfId="0" applyNumberFormat="1" applyBorder="1"/>
    <xf numFmtId="2" fontId="0" fillId="0" borderId="0" xfId="0" applyNumberFormat="1"/>
    <xf numFmtId="2" fontId="0" fillId="0" borderId="1" xfId="0" applyNumberFormat="1" applyBorder="1"/>
    <xf numFmtId="166" fontId="0" fillId="0" borderId="1" xfId="0" applyNumberFormat="1" applyBorder="1"/>
    <xf numFmtId="1" fontId="0" fillId="0" borderId="0" xfId="0" applyNumberFormat="1"/>
    <xf numFmtId="1" fontId="0" fillId="0" borderId="1" xfId="0" applyNumberFormat="1" applyBorder="1"/>
    <xf numFmtId="164" fontId="0" fillId="0" borderId="1" xfId="1" applyNumberFormat="1" applyFont="1" applyBorder="1"/>
    <xf numFmtId="43" fontId="0" fillId="0" borderId="1" xfId="0" applyNumberFormat="1" applyBorder="1"/>
    <xf numFmtId="0" fontId="2" fillId="3" borderId="2" xfId="0" applyFont="1" applyFill="1" applyBorder="1"/>
    <xf numFmtId="0" fontId="2" fillId="3" borderId="3" xfId="0" applyFont="1" applyFill="1" applyBorder="1"/>
    <xf numFmtId="0" fontId="2" fillId="3" borderId="14" xfId="0" applyFont="1" applyFill="1" applyBorder="1"/>
    <xf numFmtId="0" fontId="0" fillId="0" borderId="15" xfId="0" applyBorder="1"/>
    <xf numFmtId="166" fontId="0" fillId="0" borderId="16" xfId="0" applyNumberFormat="1" applyBorder="1"/>
    <xf numFmtId="0" fontId="0" fillId="0" borderId="17" xfId="0" applyBorder="1"/>
    <xf numFmtId="0" fontId="0" fillId="0" borderId="18" xfId="0" applyBorder="1"/>
    <xf numFmtId="166" fontId="0" fillId="0" borderId="19" xfId="0" applyNumberFormat="1" applyBorder="1"/>
    <xf numFmtId="16" fontId="3" fillId="0" borderId="15" xfId="0" applyNumberFormat="1" applyFont="1" applyBorder="1" applyAlignment="1">
      <alignment horizontal="left"/>
    </xf>
    <xf numFmtId="16" fontId="3" fillId="0" borderId="17" xfId="0" applyNumberFormat="1" applyFont="1" applyBorder="1" applyAlignment="1">
      <alignment horizontal="left"/>
    </xf>
    <xf numFmtId="164" fontId="3" fillId="0" borderId="18" xfId="1" applyNumberFormat="1" applyFont="1" applyBorder="1" applyAlignment="1">
      <alignment horizontal="right"/>
    </xf>
    <xf numFmtId="164" fontId="3" fillId="0" borderId="21" xfId="1" applyNumberFormat="1" applyFont="1" applyBorder="1" applyAlignment="1">
      <alignment horizontal="right"/>
    </xf>
    <xf numFmtId="164" fontId="0" fillId="0" borderId="18" xfId="0" applyNumberFormat="1" applyBorder="1"/>
    <xf numFmtId="1" fontId="0" fillId="0" borderId="18" xfId="0" applyNumberFormat="1" applyBorder="1"/>
    <xf numFmtId="164" fontId="0" fillId="0" borderId="18" xfId="1" applyNumberFormat="1" applyFont="1" applyBorder="1"/>
    <xf numFmtId="166" fontId="0" fillId="0" borderId="18" xfId="0" applyNumberFormat="1" applyBorder="1"/>
    <xf numFmtId="2" fontId="0" fillId="0" borderId="18" xfId="0" applyNumberFormat="1" applyBorder="1"/>
    <xf numFmtId="43" fontId="0" fillId="0" borderId="18" xfId="0" applyNumberFormat="1" applyBorder="1"/>
    <xf numFmtId="16" fontId="3" fillId="0" borderId="22" xfId="0" applyNumberFormat="1" applyFont="1" applyBorder="1" applyAlignment="1">
      <alignment horizontal="left"/>
    </xf>
    <xf numFmtId="0" fontId="0" fillId="0" borderId="11" xfId="0" applyBorder="1"/>
    <xf numFmtId="1" fontId="0" fillId="0" borderId="11" xfId="0" applyNumberFormat="1" applyBorder="1"/>
    <xf numFmtId="164" fontId="0" fillId="0" borderId="11" xfId="1" applyNumberFormat="1" applyFont="1" applyBorder="1"/>
    <xf numFmtId="166" fontId="0" fillId="0" borderId="11" xfId="0" applyNumberFormat="1" applyBorder="1"/>
    <xf numFmtId="2" fontId="0" fillId="0" borderId="11" xfId="0" applyNumberFormat="1" applyBorder="1"/>
    <xf numFmtId="43" fontId="0" fillId="0" borderId="11" xfId="0" applyNumberFormat="1" applyBorder="1"/>
    <xf numFmtId="0" fontId="2" fillId="3" borderId="12" xfId="0" applyFont="1" applyFill="1" applyBorder="1" applyAlignment="1">
      <alignment horizontal="left"/>
    </xf>
    <xf numFmtId="0" fontId="2" fillId="3" borderId="24" xfId="0" applyFont="1" applyFill="1" applyBorder="1" applyAlignment="1">
      <alignment horizontal="center"/>
    </xf>
    <xf numFmtId="0" fontId="2" fillId="3" borderId="25" xfId="0" applyFont="1" applyFill="1" applyBorder="1"/>
    <xf numFmtId="1" fontId="2" fillId="3" borderId="26" xfId="0" applyNumberFormat="1" applyFont="1" applyFill="1" applyBorder="1"/>
    <xf numFmtId="0" fontId="2" fillId="3" borderId="26" xfId="0" applyFont="1" applyFill="1" applyBorder="1"/>
    <xf numFmtId="2" fontId="2" fillId="3" borderId="26" xfId="0" applyNumberFormat="1" applyFont="1" applyFill="1" applyBorder="1"/>
    <xf numFmtId="43" fontId="0" fillId="0" borderId="0" xfId="1" applyFont="1"/>
    <xf numFmtId="43" fontId="2" fillId="3" borderId="13" xfId="1" applyFont="1" applyFill="1" applyBorder="1"/>
    <xf numFmtId="43" fontId="0" fillId="0" borderId="23" xfId="1" applyFont="1" applyBorder="1"/>
    <xf numFmtId="43" fontId="0" fillId="0" borderId="16" xfId="1" applyFont="1" applyBorder="1"/>
    <xf numFmtId="43" fontId="0" fillId="0" borderId="19" xfId="1" applyFont="1" applyBorder="1"/>
    <xf numFmtId="2" fontId="0" fillId="0" borderId="16" xfId="0" applyNumberFormat="1" applyBorder="1"/>
    <xf numFmtId="2" fontId="0" fillId="0" borderId="19" xfId="0" applyNumberFormat="1" applyBorder="1"/>
    <xf numFmtId="0" fontId="7" fillId="3" borderId="1" xfId="0" applyFont="1" applyFill="1" applyBorder="1"/>
    <xf numFmtId="0" fontId="0" fillId="3" borderId="0" xfId="0" applyFill="1"/>
    <xf numFmtId="0" fontId="7" fillId="0" borderId="0" xfId="0" applyFont="1"/>
    <xf numFmtId="0" fontId="0" fillId="0" borderId="28" xfId="0" applyBorder="1"/>
    <xf numFmtId="0" fontId="8" fillId="0" borderId="27" xfId="0" applyFont="1" applyBorder="1" applyAlignment="1">
      <alignment horizontal="center"/>
    </xf>
    <xf numFmtId="0" fontId="0" fillId="0" borderId="29" xfId="0" applyBorder="1"/>
    <xf numFmtId="0" fontId="7" fillId="0" borderId="0" xfId="0" applyFont="1" applyAlignment="1">
      <alignment horizontal="center"/>
    </xf>
    <xf numFmtId="0" fontId="7" fillId="3" borderId="2" xfId="0" applyFont="1" applyFill="1" applyBorder="1"/>
    <xf numFmtId="0" fontId="7" fillId="3" borderId="3" xfId="0" applyFont="1" applyFill="1" applyBorder="1"/>
    <xf numFmtId="0" fontId="7" fillId="3" borderId="14" xfId="0" applyFont="1" applyFill="1" applyBorder="1"/>
    <xf numFmtId="0" fontId="7" fillId="3" borderId="13" xfId="0" applyFont="1" applyFill="1" applyBorder="1"/>
    <xf numFmtId="0" fontId="0" fillId="0" borderId="16" xfId="0" applyBorder="1"/>
    <xf numFmtId="0" fontId="0" fillId="0" borderId="19" xfId="0" applyBorder="1"/>
    <xf numFmtId="0" fontId="7" fillId="3" borderId="15" xfId="0" applyFont="1" applyFill="1" applyBorder="1"/>
    <xf numFmtId="0" fontId="7" fillId="3" borderId="17" xfId="0" applyFont="1" applyFill="1" applyBorder="1"/>
    <xf numFmtId="0" fontId="7" fillId="0" borderId="15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0" borderId="14" xfId="0" applyFont="1" applyBorder="1"/>
    <xf numFmtId="0" fontId="7" fillId="3" borderId="17" xfId="0" applyFont="1" applyFill="1" applyBorder="1" applyAlignment="1">
      <alignment horizontal="center"/>
    </xf>
    <xf numFmtId="0" fontId="7" fillId="0" borderId="19" xfId="0" applyFont="1" applyBorder="1"/>
    <xf numFmtId="0" fontId="7" fillId="3" borderId="15" xfId="0" applyFont="1" applyFill="1" applyBorder="1" applyAlignment="1">
      <alignment horizontal="center"/>
    </xf>
    <xf numFmtId="2" fontId="7" fillId="0" borderId="16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0" fontId="2" fillId="3" borderId="38" xfId="0" applyFont="1" applyFill="1" applyBorder="1"/>
    <xf numFmtId="0" fontId="2" fillId="3" borderId="30" xfId="0" applyFont="1" applyFill="1" applyBorder="1"/>
    <xf numFmtId="0" fontId="7" fillId="3" borderId="22" xfId="0" applyFont="1" applyFill="1" applyBorder="1"/>
    <xf numFmtId="0" fontId="7" fillId="3" borderId="11" xfId="0" applyFont="1" applyFill="1" applyBorder="1"/>
    <xf numFmtId="0" fontId="7" fillId="3" borderId="23" xfId="0" applyFont="1" applyFill="1" applyBorder="1"/>
    <xf numFmtId="16" fontId="3" fillId="3" borderId="15" xfId="0" applyNumberFormat="1" applyFont="1" applyFill="1" applyBorder="1" applyAlignment="1">
      <alignment horizontal="left"/>
    </xf>
    <xf numFmtId="16" fontId="3" fillId="3" borderId="17" xfId="0" applyNumberFormat="1" applyFont="1" applyFill="1" applyBorder="1" applyAlignment="1">
      <alignment horizontal="left"/>
    </xf>
    <xf numFmtId="0" fontId="7" fillId="3" borderId="16" xfId="0" applyFont="1" applyFill="1" applyBorder="1"/>
    <xf numFmtId="0" fontId="0" fillId="3" borderId="2" xfId="0" applyFill="1" applyBorder="1"/>
    <xf numFmtId="0" fontId="0" fillId="0" borderId="14" xfId="0" applyBorder="1"/>
    <xf numFmtId="0" fontId="0" fillId="3" borderId="15" xfId="0" applyFill="1" applyBorder="1"/>
    <xf numFmtId="0" fontId="0" fillId="3" borderId="17" xfId="0" applyFill="1" applyBorder="1"/>
    <xf numFmtId="0" fontId="7" fillId="3" borderId="3" xfId="0" applyFont="1" applyFill="1" applyBorder="1" applyAlignment="1">
      <alignment horizontal="center"/>
    </xf>
    <xf numFmtId="0" fontId="7" fillId="3" borderId="14" xfId="0" applyFont="1" applyFill="1" applyBorder="1" applyAlignment="1">
      <alignment horizontal="center"/>
    </xf>
    <xf numFmtId="0" fontId="7" fillId="3" borderId="12" xfId="0" applyFont="1" applyFill="1" applyBorder="1"/>
    <xf numFmtId="0" fontId="7" fillId="0" borderId="13" xfId="0" applyFont="1" applyBorder="1"/>
    <xf numFmtId="164" fontId="2" fillId="2" borderId="1" xfId="0" applyNumberFormat="1" applyFont="1" applyFill="1" applyBorder="1"/>
    <xf numFmtId="0" fontId="0" fillId="0" borderId="4" xfId="0" applyBorder="1"/>
    <xf numFmtId="0" fontId="3" fillId="3" borderId="1" xfId="0" applyFont="1" applyFill="1" applyBorder="1"/>
    <xf numFmtId="0" fontId="2" fillId="3" borderId="1" xfId="0" applyFont="1" applyFill="1" applyBorder="1"/>
    <xf numFmtId="0" fontId="7" fillId="3" borderId="41" xfId="0" applyFont="1" applyFill="1" applyBorder="1"/>
    <xf numFmtId="0" fontId="0" fillId="5" borderId="0" xfId="0" applyFill="1"/>
    <xf numFmtId="0" fontId="0" fillId="6" borderId="0" xfId="0" applyFill="1"/>
    <xf numFmtId="0" fontId="6" fillId="4" borderId="20" xfId="0" applyFon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6" fillId="4" borderId="31" xfId="0" applyFont="1" applyFill="1" applyBorder="1" applyAlignment="1">
      <alignment horizontal="center"/>
    </xf>
    <xf numFmtId="0" fontId="0" fillId="4" borderId="32" xfId="0" applyFill="1" applyBorder="1" applyAlignment="1">
      <alignment horizontal="center"/>
    </xf>
    <xf numFmtId="0" fontId="0" fillId="4" borderId="40" xfId="0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0" fontId="7" fillId="3" borderId="26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7" fillId="5" borderId="31" xfId="0" applyFont="1" applyFill="1" applyBorder="1" applyAlignment="1">
      <alignment horizontal="center"/>
    </xf>
    <xf numFmtId="0" fontId="7" fillId="5" borderId="32" xfId="0" applyFont="1" applyFill="1" applyBorder="1" applyAlignment="1">
      <alignment horizontal="center"/>
    </xf>
    <xf numFmtId="0" fontId="7" fillId="5" borderId="40" xfId="0" applyFont="1" applyFill="1" applyBorder="1" applyAlignment="1">
      <alignment horizontal="center"/>
    </xf>
    <xf numFmtId="0" fontId="7" fillId="3" borderId="31" xfId="0" applyFont="1" applyFill="1" applyBorder="1" applyAlignment="1">
      <alignment horizontal="center"/>
    </xf>
    <xf numFmtId="0" fontId="7" fillId="3" borderId="32" xfId="0" applyFont="1" applyFill="1" applyBorder="1" applyAlignment="1">
      <alignment horizontal="center"/>
    </xf>
    <xf numFmtId="0" fontId="7" fillId="3" borderId="40" xfId="0" applyFont="1" applyFill="1" applyBorder="1" applyAlignment="1">
      <alignment horizontal="center"/>
    </xf>
    <xf numFmtId="0" fontId="7" fillId="3" borderId="36" xfId="0" applyFont="1" applyFill="1" applyBorder="1" applyAlignment="1">
      <alignment horizontal="center"/>
    </xf>
    <xf numFmtId="0" fontId="7" fillId="3" borderId="39" xfId="0" applyFont="1" applyFill="1" applyBorder="1" applyAlignment="1">
      <alignment horizontal="center"/>
    </xf>
    <xf numFmtId="0" fontId="7" fillId="3" borderId="37" xfId="0" applyFont="1" applyFill="1" applyBorder="1" applyAlignment="1">
      <alignment horizontal="center"/>
    </xf>
    <xf numFmtId="0" fontId="2" fillId="3" borderId="33" xfId="0" applyFont="1" applyFill="1" applyBorder="1" applyAlignment="1">
      <alignment horizontal="center"/>
    </xf>
    <xf numFmtId="0" fontId="2" fillId="3" borderId="34" xfId="0" applyFont="1" applyFill="1" applyBorder="1" applyAlignment="1">
      <alignment horizontal="center"/>
    </xf>
    <xf numFmtId="0" fontId="2" fillId="3" borderId="35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0" fillId="3" borderId="26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Median Daily Seasonal Profile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'Data and Task 2'!$AI$2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'Data and Task 2'!$AH$3:$AH$9</c:f>
              <c:strCache>
                <c:ptCount val="7"/>
                <c:pt idx="0">
                  <c:v>Mon</c:v>
                </c:pt>
                <c:pt idx="1">
                  <c:v>Tue</c:v>
                </c:pt>
                <c:pt idx="2">
                  <c:v>Wed</c:v>
                </c:pt>
                <c:pt idx="3">
                  <c:v>Thu</c:v>
                </c:pt>
                <c:pt idx="4">
                  <c:v>Fri</c:v>
                </c:pt>
                <c:pt idx="5">
                  <c:v>Sat</c:v>
                </c:pt>
                <c:pt idx="6">
                  <c:v>Sun</c:v>
                </c:pt>
              </c:strCache>
            </c:strRef>
          </c:cat>
          <c:val>
            <c:numRef>
              <c:f>'Data and Task 2'!$AI$3:$AI$9</c:f>
              <c:numCache>
                <c:formatCode>_-* #,##0_-;\-* #,##0_-;_-* "-"??_-;_-@_-</c:formatCode>
                <c:ptCount val="7"/>
                <c:pt idx="0">
                  <c:v>334.85714285714289</c:v>
                </c:pt>
                <c:pt idx="1">
                  <c:v>181.71428571428578</c:v>
                </c:pt>
                <c:pt idx="2">
                  <c:v>402</c:v>
                </c:pt>
                <c:pt idx="3">
                  <c:v>246.42857142857133</c:v>
                </c:pt>
                <c:pt idx="4">
                  <c:v>-152.57142857142844</c:v>
                </c:pt>
                <c:pt idx="5">
                  <c:v>-587.14285714285711</c:v>
                </c:pt>
                <c:pt idx="6">
                  <c:v>-616.57142857142844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1A-4C5B-B6E3-AF04210BE1E1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923914448"/>
        <c:axId val="923914928"/>
      </c:lineChart>
      <c:catAx>
        <c:axId val="923914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Day of the 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14928"/>
        <c:crosses val="autoZero"/>
        <c:auto val="1"/>
        <c:lblAlgn val="ctr"/>
        <c:lblOffset val="100"/>
        <c:noMultiLvlLbl val="0"/>
      </c:catAx>
      <c:valAx>
        <c:axId val="92391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Detrended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1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Daily New Subscription Calls with 7 days Centred Moving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'Data and Task 2'!$C$4</c:f>
              <c:strCache>
                <c:ptCount val="1"/>
                <c:pt idx="0">
                  <c:v>New Calls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'Data and Task 2'!$B$5:$B$60</c:f>
              <c:numCache>
                <c:formatCode>d\-mmm</c:formatCode>
                <c:ptCount val="56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</c:numCache>
            </c:numRef>
          </c:cat>
          <c:val>
            <c:numRef>
              <c:f>'Data and Task 2'!$C$5:$C$60</c:f>
              <c:numCache>
                <c:formatCode>_-* #,##0_-;\-* #,##0_-;_-* "-"??_-;_-@_-</c:formatCode>
                <c:ptCount val="56"/>
                <c:pt idx="0">
                  <c:v>1576</c:v>
                </c:pt>
                <c:pt idx="1">
                  <c:v>2299</c:v>
                </c:pt>
                <c:pt idx="2">
                  <c:v>1878</c:v>
                </c:pt>
                <c:pt idx="3">
                  <c:v>1628</c:v>
                </c:pt>
                <c:pt idx="4">
                  <c:v>1555</c:v>
                </c:pt>
                <c:pt idx="5">
                  <c:v>1240</c:v>
                </c:pt>
                <c:pt idx="6">
                  <c:v>864</c:v>
                </c:pt>
                <c:pt idx="7">
                  <c:v>1882</c:v>
                </c:pt>
                <c:pt idx="8">
                  <c:v>2306</c:v>
                </c:pt>
                <c:pt idx="9">
                  <c:v>1988</c:v>
                </c:pt>
                <c:pt idx="10">
                  <c:v>1886</c:v>
                </c:pt>
                <c:pt idx="11">
                  <c:v>1365</c:v>
                </c:pt>
                <c:pt idx="12">
                  <c:v>998</c:v>
                </c:pt>
                <c:pt idx="13">
                  <c:v>1052</c:v>
                </c:pt>
                <c:pt idx="14">
                  <c:v>1905</c:v>
                </c:pt>
                <c:pt idx="15">
                  <c:v>1767</c:v>
                </c:pt>
                <c:pt idx="16">
                  <c:v>1911</c:v>
                </c:pt>
                <c:pt idx="17">
                  <c:v>2036</c:v>
                </c:pt>
                <c:pt idx="18">
                  <c:v>1428</c:v>
                </c:pt>
                <c:pt idx="19">
                  <c:v>1008</c:v>
                </c:pt>
                <c:pt idx="20">
                  <c:v>1082</c:v>
                </c:pt>
                <c:pt idx="21">
                  <c:v>1921</c:v>
                </c:pt>
                <c:pt idx="22">
                  <c:v>1780</c:v>
                </c:pt>
                <c:pt idx="23">
                  <c:v>2071</c:v>
                </c:pt>
                <c:pt idx="24">
                  <c:v>1813</c:v>
                </c:pt>
                <c:pt idx="25">
                  <c:v>1780</c:v>
                </c:pt>
                <c:pt idx="26">
                  <c:v>1236</c:v>
                </c:pt>
                <c:pt idx="27">
                  <c:v>1082</c:v>
                </c:pt>
                <c:pt idx="28">
                  <c:v>1777</c:v>
                </c:pt>
                <c:pt idx="29">
                  <c:v>1766</c:v>
                </c:pt>
                <c:pt idx="30">
                  <c:v>1884</c:v>
                </c:pt>
                <c:pt idx="31">
                  <c:v>1780</c:v>
                </c:pt>
                <c:pt idx="32">
                  <c:v>1572</c:v>
                </c:pt>
                <c:pt idx="33">
                  <c:v>948</c:v>
                </c:pt>
                <c:pt idx="34">
                  <c:v>1085</c:v>
                </c:pt>
                <c:pt idx="35">
                  <c:v>2917</c:v>
                </c:pt>
                <c:pt idx="36">
                  <c:v>2801</c:v>
                </c:pt>
                <c:pt idx="37">
                  <c:v>3075</c:v>
                </c:pt>
                <c:pt idx="38">
                  <c:v>2737</c:v>
                </c:pt>
                <c:pt idx="39">
                  <c:v>2329</c:v>
                </c:pt>
                <c:pt idx="40">
                  <c:v>1540</c:v>
                </c:pt>
                <c:pt idx="41">
                  <c:v>1787</c:v>
                </c:pt>
                <c:pt idx="42">
                  <c:v>3102</c:v>
                </c:pt>
                <c:pt idx="43">
                  <c:v>2403</c:v>
                </c:pt>
                <c:pt idx="44">
                  <c:v>2927</c:v>
                </c:pt>
                <c:pt idx="45">
                  <c:v>3213</c:v>
                </c:pt>
                <c:pt idx="46">
                  <c:v>2194</c:v>
                </c:pt>
                <c:pt idx="47">
                  <c:v>1780</c:v>
                </c:pt>
                <c:pt idx="48">
                  <c:v>1408</c:v>
                </c:pt>
                <c:pt idx="49">
                  <c:v>2920</c:v>
                </c:pt>
                <c:pt idx="50">
                  <c:v>2647</c:v>
                </c:pt>
                <c:pt idx="51">
                  <c:v>3020</c:v>
                </c:pt>
                <c:pt idx="52">
                  <c:v>2338</c:v>
                </c:pt>
                <c:pt idx="53">
                  <c:v>2950</c:v>
                </c:pt>
                <c:pt idx="54">
                  <c:v>1601</c:v>
                </c:pt>
                <c:pt idx="55">
                  <c:v>1615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FF-446F-B08B-6772AF550D80}"/>
            </c:ext>
          </c:extLst>
        </c:ser>
        <c:ser>
          <c:idx val="1"/>
          <c:order val="1"/>
          <c:tx>
            <c:strRef>
              <c:f>'Data and Task 2'!$D$4</c:f>
              <c:strCache>
                <c:ptCount val="1"/>
                <c:pt idx="0">
                  <c:v>CMA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'Data and Task 2'!$B$5:$B$60</c:f>
              <c:numCache>
                <c:formatCode>d\-mmm</c:formatCode>
                <c:ptCount val="56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</c:numCache>
            </c:numRef>
          </c:cat>
          <c:val>
            <c:numRef>
              <c:f>'Data and Task 2'!$D$5:$D$60</c:f>
              <c:numCache>
                <c:formatCode>General</c:formatCode>
                <c:ptCount val="56"/>
                <c:pt idx="3" formatCode="_-* #,##0_-;\-* #,##0_-;_-* &quot;-&quot;??_-;_-@_-">
                  <c:v>1577.1428571428571</c:v>
                </c:pt>
                <c:pt idx="4" formatCode="_-* #,##0_-;\-* #,##0_-;_-* &quot;-&quot;??_-;_-@_-">
                  <c:v>1620.8571428571429</c:v>
                </c:pt>
                <c:pt idx="5" formatCode="_-* #,##0_-;\-* #,##0_-;_-* &quot;-&quot;??_-;_-@_-">
                  <c:v>1621.8571428571429</c:v>
                </c:pt>
                <c:pt idx="6" formatCode="_-* #,##0_-;\-* #,##0_-;_-* &quot;-&quot;??_-;_-@_-">
                  <c:v>1637.5714285714287</c:v>
                </c:pt>
                <c:pt idx="7" formatCode="_-* #,##0_-;\-* #,##0_-;_-* &quot;-&quot;??_-;_-@_-">
                  <c:v>1674.4285714285713</c:v>
                </c:pt>
                <c:pt idx="8" formatCode="_-* #,##0_-;\-* #,##0_-;_-* &quot;-&quot;??_-;_-@_-">
                  <c:v>1647.2857142857142</c:v>
                </c:pt>
                <c:pt idx="9" formatCode="_-* #,##0_-;\-* #,##0_-;_-* &quot;-&quot;??_-;_-@_-">
                  <c:v>1612.7142857142858</c:v>
                </c:pt>
                <c:pt idx="10" formatCode="_-* #,##0_-;\-* #,##0_-;_-* &quot;-&quot;??_-;_-@_-">
                  <c:v>1639.5714285714287</c:v>
                </c:pt>
                <c:pt idx="11" formatCode="_-* #,##0_-;\-* #,##0_-;_-* &quot;-&quot;??_-;_-@_-">
                  <c:v>1642.8571428571429</c:v>
                </c:pt>
                <c:pt idx="12" formatCode="_-* #,##0_-;\-* #,##0_-;_-* &quot;-&quot;??_-;_-@_-">
                  <c:v>1565.8571428571429</c:v>
                </c:pt>
                <c:pt idx="13" formatCode="_-* #,##0_-;\-* #,##0_-;_-* &quot;-&quot;??_-;_-@_-">
                  <c:v>1554.8571428571429</c:v>
                </c:pt>
                <c:pt idx="14" formatCode="_-* #,##0_-;\-* #,##0_-;_-* &quot;-&quot;??_-;_-@_-">
                  <c:v>1576.2857142857142</c:v>
                </c:pt>
                <c:pt idx="15" formatCode="_-* #,##0_-;\-* #,##0_-;_-* &quot;-&quot;??_-;_-@_-">
                  <c:v>1585.2857142857142</c:v>
                </c:pt>
                <c:pt idx="16" formatCode="_-* #,##0_-;\-* #,##0_-;_-* &quot;-&quot;??_-;_-@_-">
                  <c:v>1586.7142857142858</c:v>
                </c:pt>
                <c:pt idx="17" formatCode="_-* #,##0_-;\-* #,##0_-;_-* &quot;-&quot;??_-;_-@_-">
                  <c:v>1591</c:v>
                </c:pt>
                <c:pt idx="18" formatCode="_-* #,##0_-;\-* #,##0_-;_-* &quot;-&quot;??_-;_-@_-">
                  <c:v>1593.2857142857142</c:v>
                </c:pt>
                <c:pt idx="19" formatCode="_-* #,##0_-;\-* #,##0_-;_-* &quot;-&quot;??_-;_-@_-">
                  <c:v>1595.1428571428571</c:v>
                </c:pt>
                <c:pt idx="20" formatCode="_-* #,##0_-;\-* #,##0_-;_-* &quot;-&quot;??_-;_-@_-">
                  <c:v>1618</c:v>
                </c:pt>
                <c:pt idx="21" formatCode="_-* #,##0_-;\-* #,##0_-;_-* &quot;-&quot;??_-;_-@_-">
                  <c:v>1586.1428571428571</c:v>
                </c:pt>
                <c:pt idx="22" formatCode="_-* #,##0_-;\-* #,##0_-;_-* &quot;-&quot;??_-;_-@_-">
                  <c:v>1636.4285714285713</c:v>
                </c:pt>
                <c:pt idx="23" formatCode="_-* #,##0_-;\-* #,##0_-;_-* &quot;-&quot;??_-;_-@_-">
                  <c:v>1669</c:v>
                </c:pt>
                <c:pt idx="24" formatCode="_-* #,##0_-;\-* #,##0_-;_-* &quot;-&quot;??_-;_-@_-">
                  <c:v>1669</c:v>
                </c:pt>
                <c:pt idx="25" formatCode="_-* #,##0_-;\-* #,##0_-;_-* &quot;-&quot;??_-;_-@_-">
                  <c:v>1648.4285714285713</c:v>
                </c:pt>
                <c:pt idx="26" formatCode="_-* #,##0_-;\-* #,##0_-;_-* &quot;-&quot;??_-;_-@_-">
                  <c:v>1646.4285714285713</c:v>
                </c:pt>
                <c:pt idx="27" formatCode="_-* #,##0_-;\-* #,##0_-;_-* &quot;-&quot;??_-;_-@_-">
                  <c:v>1619.7142857142858</c:v>
                </c:pt>
                <c:pt idx="28" formatCode="_-* #,##0_-;\-* #,##0_-;_-* &quot;-&quot;??_-;_-@_-">
                  <c:v>1615</c:v>
                </c:pt>
                <c:pt idx="29" formatCode="_-* #,##0_-;\-* #,##0_-;_-* &quot;-&quot;??_-;_-@_-">
                  <c:v>1585.2857142857142</c:v>
                </c:pt>
                <c:pt idx="30" formatCode="_-* #,##0_-;\-* #,##0_-;_-* &quot;-&quot;??_-;_-@_-">
                  <c:v>1544.1428571428571</c:v>
                </c:pt>
                <c:pt idx="31" formatCode="_-* #,##0_-;\-* #,##0_-;_-* &quot;-&quot;??_-;_-@_-">
                  <c:v>1544.5714285714287</c:v>
                </c:pt>
                <c:pt idx="32" formatCode="_-* #,##0_-;\-* #,##0_-;_-* &quot;-&quot;??_-;_-@_-">
                  <c:v>1707.4285714285713</c:v>
                </c:pt>
                <c:pt idx="33" formatCode="_-* #,##0_-;\-* #,##0_-;_-* &quot;-&quot;??_-;_-@_-">
                  <c:v>1855.2857142857142</c:v>
                </c:pt>
                <c:pt idx="34" formatCode="_-* #,##0_-;\-* #,##0_-;_-* &quot;-&quot;??_-;_-@_-">
                  <c:v>2025.4285714285713</c:v>
                </c:pt>
                <c:pt idx="35" formatCode="_-* #,##0_-;\-* #,##0_-;_-* &quot;-&quot;??_-;_-@_-">
                  <c:v>2162.1428571428573</c:v>
                </c:pt>
                <c:pt idx="36" formatCode="_-* #,##0_-;\-* #,##0_-;_-* &quot;-&quot;??_-;_-@_-">
                  <c:v>2270.2857142857142</c:v>
                </c:pt>
                <c:pt idx="37" formatCode="_-* #,##0_-;\-* #,##0_-;_-* &quot;-&quot;??_-;_-@_-">
                  <c:v>2354.8571428571427</c:v>
                </c:pt>
                <c:pt idx="38" formatCode="_-* #,##0_-;\-* #,##0_-;_-* &quot;-&quot;??_-;_-@_-">
                  <c:v>2455.1428571428573</c:v>
                </c:pt>
                <c:pt idx="39" formatCode="_-* #,##0_-;\-* #,##0_-;_-* &quot;-&quot;??_-;_-@_-">
                  <c:v>2481.5714285714284</c:v>
                </c:pt>
                <c:pt idx="40" formatCode="_-* #,##0_-;\-* #,##0_-;_-* &quot;-&quot;??_-;_-@_-">
                  <c:v>2424.7142857142858</c:v>
                </c:pt>
                <c:pt idx="41" formatCode="_-* #,##0_-;\-* #,##0_-;_-* &quot;-&quot;??_-;_-@_-">
                  <c:v>2403.5714285714284</c:v>
                </c:pt>
                <c:pt idx="42" formatCode="_-* #,##0_-;\-* #,##0_-;_-* &quot;-&quot;??_-;_-@_-">
                  <c:v>2471.5714285714284</c:v>
                </c:pt>
                <c:pt idx="43" formatCode="_-* #,##0_-;\-* #,##0_-;_-* &quot;-&quot;??_-;_-@_-">
                  <c:v>2452.2857142857142</c:v>
                </c:pt>
                <c:pt idx="44" formatCode="_-* #,##0_-;\-* #,##0_-;_-* &quot;-&quot;??_-;_-@_-">
                  <c:v>2486.5714285714284</c:v>
                </c:pt>
                <c:pt idx="45" formatCode="_-* #,##0_-;\-* #,##0_-;_-* &quot;-&quot;??_-;_-@_-">
                  <c:v>2432.4285714285716</c:v>
                </c:pt>
                <c:pt idx="46" formatCode="_-* #,##0_-;\-* #,##0_-;_-* &quot;-&quot;??_-;_-@_-">
                  <c:v>2406.4285714285716</c:v>
                </c:pt>
                <c:pt idx="47" formatCode="_-* #,##0_-;\-* #,##0_-;_-* &quot;-&quot;??_-;_-@_-">
                  <c:v>2441.2857142857142</c:v>
                </c:pt>
                <c:pt idx="48" formatCode="_-* #,##0_-;\-* #,##0_-;_-* &quot;-&quot;??_-;_-@_-">
                  <c:v>2454.5714285714284</c:v>
                </c:pt>
                <c:pt idx="49" formatCode="_-* #,##0_-;\-* #,##0_-;_-* &quot;-&quot;??_-;_-@_-">
                  <c:v>2329.5714285714284</c:v>
                </c:pt>
                <c:pt idx="50" formatCode="_-* #,##0_-;\-* #,##0_-;_-* &quot;-&quot;??_-;_-@_-">
                  <c:v>2437.5714285714284</c:v>
                </c:pt>
                <c:pt idx="51" formatCode="_-* #,##0_-;\-* #,##0_-;_-* &quot;-&quot;??_-;_-@_-">
                  <c:v>2412</c:v>
                </c:pt>
                <c:pt idx="52" formatCode="_-* #,##0_-;\-* #,##0_-;_-* &quot;-&quot;??_-;_-@_-">
                  <c:v>2441.5714285714284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FF-446F-B08B-6772AF550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0676639"/>
        <c:axId val="250680479"/>
      </c:lineChart>
      <c:dateAx>
        <c:axId val="2506766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680479"/>
        <c:crosses val="autoZero"/>
        <c:auto val="1"/>
        <c:lblOffset val="100"/>
        <c:baseTimeUnit val="days"/>
      </c:dateAx>
      <c:valAx>
        <c:axId val="250680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Number of Calls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67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424543</xdr:colOff>
      <xdr:row>1</xdr:row>
      <xdr:rowOff>54429</xdr:rowOff>
    </xdr:from>
    <xdr:to>
      <xdr:col>44</xdr:col>
      <xdr:colOff>206828</xdr:colOff>
      <xdr:row>15</xdr:row>
      <xdr:rowOff>54429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62D5050-6A85-C7F0-3A2B-62D06EDB83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572758</xdr:colOff>
      <xdr:row>2</xdr:row>
      <xdr:rowOff>40192</xdr:rowOff>
    </xdr:from>
    <xdr:to>
      <xdr:col>18</xdr:col>
      <xdr:colOff>592666</xdr:colOff>
      <xdr:row>19</xdr:row>
      <xdr:rowOff>84667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093A63E-E656-4469-DD71-7E720FB028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FD891-6FD4-4BD9-BDE4-7E62BE80E724}">
  <sheetPr codeName="Sheet1"/>
  <dimension ref="B1:AU60"/>
  <sheetViews>
    <sheetView tabSelected="1" topLeftCell="S1" zoomScale="81" zoomScaleNormal="81" workbookViewId="0">
      <selection activeCell="X18" sqref="X18"/>
    </sheetView>
  </sheetViews>
  <sheetFormatPr defaultColWidth="8.77734375" defaultRowHeight="15.6" x14ac:dyDescent="0.3"/>
  <cols>
    <col min="1" max="1" width="8.77734375" style="1"/>
    <col min="2" max="2" width="12.77734375" style="1" customWidth="1"/>
    <col min="3" max="3" width="14" style="1" bestFit="1" customWidth="1"/>
    <col min="4" max="4" width="8.77734375" style="1"/>
    <col min="5" max="5" width="8.77734375" style="1" customWidth="1"/>
    <col min="6" max="27" width="8.77734375" style="1"/>
    <col min="28" max="28" width="9.6640625" style="1" bestFit="1" customWidth="1"/>
    <col min="29" max="16384" width="8.77734375" style="1"/>
  </cols>
  <sheetData>
    <row r="1" spans="2:47" ht="16.2" thickBot="1" x14ac:dyDescent="0.35"/>
    <row r="2" spans="2:47" x14ac:dyDescent="0.3">
      <c r="B2" s="2" t="s">
        <v>0</v>
      </c>
      <c r="I2" s="9" t="s">
        <v>19</v>
      </c>
      <c r="AG2" s="13" t="s">
        <v>21</v>
      </c>
      <c r="AH2" s="14" t="s">
        <v>22</v>
      </c>
      <c r="AI2" s="14" t="s">
        <v>23</v>
      </c>
      <c r="AJ2" s="15"/>
      <c r="AK2" s="113"/>
      <c r="AL2" s="15"/>
      <c r="AM2" s="15"/>
      <c r="AN2" s="15"/>
      <c r="AO2" s="15"/>
      <c r="AP2" s="15"/>
      <c r="AQ2" s="15"/>
      <c r="AR2" s="15"/>
      <c r="AS2" s="15"/>
      <c r="AT2" s="15"/>
      <c r="AU2" s="16"/>
    </row>
    <row r="3" spans="2:47" x14ac:dyDescent="0.3">
      <c r="AG3" s="17"/>
      <c r="AH3" s="9" t="s">
        <v>4</v>
      </c>
      <c r="AI3" s="11" cm="1">
        <f t="array" ref="AI3">MEDIAN(IF($F$8:$F$57=AH3,$E$8:$E$57))</f>
        <v>334.85714285714289</v>
      </c>
      <c r="AU3" s="18"/>
    </row>
    <row r="4" spans="2:47" x14ac:dyDescent="0.3">
      <c r="B4" s="4" t="s">
        <v>1</v>
      </c>
      <c r="C4" s="5" t="s">
        <v>2</v>
      </c>
      <c r="D4" s="8" t="s">
        <v>3</v>
      </c>
      <c r="E4" s="22" t="s">
        <v>25</v>
      </c>
      <c r="F4" s="8" t="s">
        <v>22</v>
      </c>
      <c r="G4" s="3"/>
      <c r="H4" s="3"/>
      <c r="I4" s="3"/>
      <c r="J4" s="3"/>
      <c r="K4" s="3"/>
      <c r="U4" s="9" t="s">
        <v>20</v>
      </c>
      <c r="V4" s="114" t="s">
        <v>225</v>
      </c>
      <c r="W4" s="114" t="s">
        <v>11</v>
      </c>
      <c r="X4" s="114" t="s">
        <v>12</v>
      </c>
      <c r="Y4" s="114" t="s">
        <v>13</v>
      </c>
      <c r="Z4" s="114" t="s">
        <v>14</v>
      </c>
      <c r="AA4" s="114" t="s">
        <v>15</v>
      </c>
      <c r="AB4" s="114" t="s">
        <v>16</v>
      </c>
      <c r="AC4" s="114" t="s">
        <v>17</v>
      </c>
      <c r="AD4" s="114" t="s">
        <v>18</v>
      </c>
      <c r="AE4" s="115" t="s">
        <v>24</v>
      </c>
      <c r="AG4" s="17"/>
      <c r="AH4" s="9" t="s">
        <v>5</v>
      </c>
      <c r="AI4" s="11" cm="1">
        <f t="array" ref="AI4">MEDIAN(IF($F$9:$F$57=AH4,$E$9:$E$57))</f>
        <v>181.71428571428578</v>
      </c>
      <c r="AU4" s="18"/>
    </row>
    <row r="5" spans="2:47" x14ac:dyDescent="0.3">
      <c r="B5" s="6">
        <v>45047</v>
      </c>
      <c r="C5" s="7">
        <v>1576</v>
      </c>
      <c r="D5" s="8"/>
      <c r="E5" s="8"/>
      <c r="F5" s="8" t="str">
        <f t="shared" ref="F5:F36" si="0">TEXT(B5,"ddd")</f>
        <v>Mon</v>
      </c>
      <c r="G5" s="3"/>
      <c r="H5" s="3"/>
      <c r="I5" s="3"/>
      <c r="J5" s="3"/>
      <c r="K5" s="3"/>
      <c r="V5" s="114" t="s">
        <v>4</v>
      </c>
      <c r="W5" s="9"/>
      <c r="X5" s="11">
        <f t="shared" ref="X5:X11" si="1">E12</f>
        <v>207.57142857142867</v>
      </c>
      <c r="Y5" s="11">
        <f t="shared" ref="Y5:Y11" si="2">E19</f>
        <v>328.71428571428578</v>
      </c>
      <c r="Z5" s="11">
        <f t="shared" ref="Z5:Z11" si="3">E26</f>
        <v>334.85714285714289</v>
      </c>
      <c r="AA5" s="11">
        <f t="shared" ref="AA5:AA11" si="4">E33</f>
        <v>162</v>
      </c>
      <c r="AB5" s="11">
        <f t="shared" ref="AB5:AB11" si="5">E40</f>
        <v>754.85714285714266</v>
      </c>
      <c r="AC5" s="11">
        <f t="shared" ref="AC5:AC11" si="6">E47</f>
        <v>630.42857142857156</v>
      </c>
      <c r="AD5" s="11">
        <f>E54</f>
        <v>590.42857142857156</v>
      </c>
      <c r="AE5" s="112">
        <f>SUM(W5:AD5)</f>
        <v>3008.8571428571431</v>
      </c>
      <c r="AG5" s="17"/>
      <c r="AH5" s="9" t="s">
        <v>6</v>
      </c>
      <c r="AI5" s="11" cm="1">
        <f t="array" ref="AI5">MEDIAN(IF($F$9:$F$57=AH5,$E$9:$E$57))</f>
        <v>402</v>
      </c>
      <c r="AU5" s="18"/>
    </row>
    <row r="6" spans="2:47" x14ac:dyDescent="0.3">
      <c r="B6" s="6">
        <v>45048</v>
      </c>
      <c r="C6" s="7">
        <v>2299</v>
      </c>
      <c r="D6" s="8"/>
      <c r="E6" s="8"/>
      <c r="F6" s="8" t="str">
        <f t="shared" si="0"/>
        <v>Tue</v>
      </c>
      <c r="G6" s="3"/>
      <c r="H6" s="3"/>
      <c r="I6" s="3"/>
      <c r="J6" s="3"/>
      <c r="K6" s="3"/>
      <c r="V6" s="114" t="s">
        <v>5</v>
      </c>
      <c r="W6" s="9"/>
      <c r="X6" s="11">
        <f t="shared" si="1"/>
        <v>658.71428571428578</v>
      </c>
      <c r="Y6" s="11">
        <f t="shared" si="2"/>
        <v>181.71428571428578</v>
      </c>
      <c r="Z6" s="11">
        <f t="shared" si="3"/>
        <v>143.57142857142867</v>
      </c>
      <c r="AA6" s="11">
        <f t="shared" si="4"/>
        <v>180.71428571428578</v>
      </c>
      <c r="AB6" s="11">
        <f t="shared" si="5"/>
        <v>530.71428571428578</v>
      </c>
      <c r="AC6" s="11">
        <f t="shared" si="6"/>
        <v>-49.285714285714221</v>
      </c>
      <c r="AD6" s="11">
        <f>E55</f>
        <v>209.42857142857156</v>
      </c>
      <c r="AE6" s="112">
        <f t="shared" ref="AE6:AE11" si="7">SUM(W6:AD6)</f>
        <v>1855.5714285714291</v>
      </c>
      <c r="AG6" s="17"/>
      <c r="AH6" s="9" t="s">
        <v>7</v>
      </c>
      <c r="AI6" s="11" cm="1">
        <f t="array" ref="AI6">MEDIAN(IF($F$9:$F$57=AH6,$E$9:$E$57))</f>
        <v>246.42857142857133</v>
      </c>
      <c r="AU6" s="18"/>
    </row>
    <row r="7" spans="2:47" x14ac:dyDescent="0.3">
      <c r="B7" s="6">
        <v>45049</v>
      </c>
      <c r="C7" s="7">
        <v>1878</v>
      </c>
      <c r="D7" s="8"/>
      <c r="E7" s="8"/>
      <c r="F7" s="8" t="str">
        <f t="shared" si="0"/>
        <v>Wed</v>
      </c>
      <c r="G7" s="3"/>
      <c r="H7" s="3"/>
      <c r="I7" s="3"/>
      <c r="J7" s="3"/>
      <c r="K7" s="3"/>
      <c r="V7" s="114" t="s">
        <v>6</v>
      </c>
      <c r="W7" s="9"/>
      <c r="X7" s="11">
        <f t="shared" si="1"/>
        <v>375.28571428571422</v>
      </c>
      <c r="Y7" s="11">
        <f t="shared" si="2"/>
        <v>324.28571428571422</v>
      </c>
      <c r="Z7" s="11">
        <f t="shared" si="3"/>
        <v>402</v>
      </c>
      <c r="AA7" s="11">
        <f t="shared" si="4"/>
        <v>339.85714285714289</v>
      </c>
      <c r="AB7" s="11">
        <f t="shared" si="5"/>
        <v>720.14285714285734</v>
      </c>
      <c r="AC7" s="11">
        <f t="shared" si="6"/>
        <v>440.42857142857156</v>
      </c>
      <c r="AD7" s="11">
        <f>E56</f>
        <v>608</v>
      </c>
      <c r="AE7" s="112">
        <f t="shared" si="7"/>
        <v>3210</v>
      </c>
      <c r="AG7" s="17"/>
      <c r="AH7" s="9" t="s">
        <v>8</v>
      </c>
      <c r="AI7" s="11" cm="1">
        <f t="array" ref="AI7">MEDIAN(IF($F$9:$F$57=AH7,$E$9:$E$57))</f>
        <v>-152.57142857142844</v>
      </c>
      <c r="AU7" s="18"/>
    </row>
    <row r="8" spans="2:47" x14ac:dyDescent="0.3">
      <c r="B8" s="6">
        <v>45050</v>
      </c>
      <c r="C8" s="7">
        <v>1628</v>
      </c>
      <c r="D8" s="10">
        <f>AVERAGE(C5:C11)</f>
        <v>1577.1428571428571</v>
      </c>
      <c r="E8" s="10">
        <f>C8 - D8</f>
        <v>50.85714285714289</v>
      </c>
      <c r="F8" s="8" t="str">
        <f t="shared" si="0"/>
        <v>Thu</v>
      </c>
      <c r="G8" s="3"/>
      <c r="H8" s="3"/>
      <c r="I8" s="3"/>
      <c r="J8" s="3"/>
      <c r="K8" s="3"/>
      <c r="V8" s="114" t="s">
        <v>7</v>
      </c>
      <c r="W8" s="11">
        <f>E8</f>
        <v>50.85714285714289</v>
      </c>
      <c r="X8" s="11">
        <f t="shared" si="1"/>
        <v>246.42857142857133</v>
      </c>
      <c r="Y8" s="11">
        <f t="shared" si="2"/>
        <v>445</v>
      </c>
      <c r="Z8" s="11">
        <f t="shared" si="3"/>
        <v>144</v>
      </c>
      <c r="AA8" s="11">
        <f t="shared" si="4"/>
        <v>235.42857142857133</v>
      </c>
      <c r="AB8" s="11">
        <f t="shared" si="5"/>
        <v>281.85714285714266</v>
      </c>
      <c r="AC8" s="11">
        <f t="shared" si="6"/>
        <v>780.57142857142844</v>
      </c>
      <c r="AD8" s="11">
        <f>E57</f>
        <v>-103.57142857142844</v>
      </c>
      <c r="AE8" s="112">
        <f t="shared" si="7"/>
        <v>2080.5714285714284</v>
      </c>
      <c r="AG8" s="17"/>
      <c r="AH8" s="9" t="s">
        <v>9</v>
      </c>
      <c r="AI8" s="11" cm="1">
        <f t="array" ref="AI8">MEDIAN(IF($F$9:$F$57=AH8,$E$9:$E$57))</f>
        <v>-587.14285714285711</v>
      </c>
      <c r="AU8" s="18"/>
    </row>
    <row r="9" spans="2:47" x14ac:dyDescent="0.3">
      <c r="B9" s="6">
        <v>45051</v>
      </c>
      <c r="C9" s="7">
        <v>1555</v>
      </c>
      <c r="D9" s="10">
        <f t="shared" ref="D9:D57" si="8">AVERAGE(C6:C12)</f>
        <v>1620.8571428571429</v>
      </c>
      <c r="E9" s="10">
        <f t="shared" ref="E9:E57" si="9">C9 - D9</f>
        <v>-65.85714285714289</v>
      </c>
      <c r="F9" s="8" t="str">
        <f t="shared" si="0"/>
        <v>Fri</v>
      </c>
      <c r="G9" s="3"/>
      <c r="H9" s="3"/>
      <c r="I9" s="3"/>
      <c r="J9" s="3"/>
      <c r="K9" s="3"/>
      <c r="V9" s="114" t="s">
        <v>8</v>
      </c>
      <c r="W9" s="11">
        <f>E9</f>
        <v>-65.85714285714289</v>
      </c>
      <c r="X9" s="11">
        <f t="shared" si="1"/>
        <v>-277.85714285714289</v>
      </c>
      <c r="Y9" s="11">
        <f t="shared" si="2"/>
        <v>-165.28571428571422</v>
      </c>
      <c r="Z9" s="11">
        <f t="shared" si="3"/>
        <v>131.57142857142867</v>
      </c>
      <c r="AA9" s="11">
        <f t="shared" si="4"/>
        <v>-135.42857142857133</v>
      </c>
      <c r="AB9" s="11">
        <f t="shared" si="5"/>
        <v>-152.57142857142844</v>
      </c>
      <c r="AC9" s="11">
        <f t="shared" si="6"/>
        <v>-212.42857142857156</v>
      </c>
      <c r="AD9" s="9"/>
      <c r="AE9" s="112">
        <f t="shared" si="7"/>
        <v>-877.85714285714266</v>
      </c>
      <c r="AG9" s="17"/>
      <c r="AH9" s="9" t="s">
        <v>10</v>
      </c>
      <c r="AI9" s="11" cm="1">
        <f t="array" ref="AI9">MEDIAN(IF($F$9:$F$57=AH9,$E$9:$E$57))</f>
        <v>-616.57142857142844</v>
      </c>
      <c r="AU9" s="18"/>
    </row>
    <row r="10" spans="2:47" x14ac:dyDescent="0.3">
      <c r="B10" s="6">
        <v>45052</v>
      </c>
      <c r="C10" s="7">
        <v>1240</v>
      </c>
      <c r="D10" s="10">
        <f t="shared" si="8"/>
        <v>1621.8571428571429</v>
      </c>
      <c r="E10" s="10">
        <f t="shared" si="9"/>
        <v>-381.85714285714289</v>
      </c>
      <c r="F10" s="8" t="str">
        <f t="shared" si="0"/>
        <v>Sat</v>
      </c>
      <c r="G10" s="3"/>
      <c r="H10" s="3"/>
      <c r="I10" s="3"/>
      <c r="J10" s="3"/>
      <c r="K10" s="3"/>
      <c r="V10" s="114" t="s">
        <v>9</v>
      </c>
      <c r="W10" s="11">
        <f>E10</f>
        <v>-381.85714285714289</v>
      </c>
      <c r="X10" s="11">
        <f t="shared" si="1"/>
        <v>-567.85714285714289</v>
      </c>
      <c r="Y10" s="11">
        <f t="shared" si="2"/>
        <v>-587.14285714285711</v>
      </c>
      <c r="Z10" s="11">
        <f t="shared" si="3"/>
        <v>-410.42857142857133</v>
      </c>
      <c r="AA10" s="11">
        <f t="shared" si="4"/>
        <v>-907.28571428571422</v>
      </c>
      <c r="AB10" s="11">
        <f t="shared" si="5"/>
        <v>-884.71428571428578</v>
      </c>
      <c r="AC10" s="11">
        <f t="shared" si="6"/>
        <v>-661.28571428571422</v>
      </c>
      <c r="AD10" s="9"/>
      <c r="AE10" s="112">
        <f t="shared" si="7"/>
        <v>-4400.5714285714284</v>
      </c>
      <c r="AG10" s="17"/>
      <c r="AU10" s="18"/>
    </row>
    <row r="11" spans="2:47" x14ac:dyDescent="0.3">
      <c r="B11" s="6">
        <v>45053</v>
      </c>
      <c r="C11" s="7">
        <v>864</v>
      </c>
      <c r="D11" s="10">
        <f t="shared" si="8"/>
        <v>1637.5714285714287</v>
      </c>
      <c r="E11" s="10">
        <f t="shared" si="9"/>
        <v>-773.57142857142867</v>
      </c>
      <c r="F11" s="8" t="str">
        <f t="shared" si="0"/>
        <v>Sun</v>
      </c>
      <c r="G11" s="3"/>
      <c r="H11" s="3"/>
      <c r="I11" s="3"/>
      <c r="J11" s="3"/>
      <c r="K11" s="3"/>
      <c r="V11" s="114" t="s">
        <v>10</v>
      </c>
      <c r="W11" s="11">
        <f>E11</f>
        <v>-773.57142857142867</v>
      </c>
      <c r="X11" s="11">
        <f t="shared" si="1"/>
        <v>-502.85714285714289</v>
      </c>
      <c r="Y11" s="11">
        <f t="shared" si="2"/>
        <v>-536</v>
      </c>
      <c r="Z11" s="11">
        <f t="shared" si="3"/>
        <v>-537.71428571428578</v>
      </c>
      <c r="AA11" s="11">
        <f t="shared" si="4"/>
        <v>-940.42857142857133</v>
      </c>
      <c r="AB11" s="11">
        <f t="shared" si="5"/>
        <v>-616.57142857142844</v>
      </c>
      <c r="AC11" s="11">
        <f t="shared" si="6"/>
        <v>-1046.5714285714284</v>
      </c>
      <c r="AD11" s="9"/>
      <c r="AE11" s="112">
        <f t="shared" si="7"/>
        <v>-4953.7142857142853</v>
      </c>
      <c r="AG11" s="17"/>
      <c r="AU11" s="18"/>
    </row>
    <row r="12" spans="2:47" x14ac:dyDescent="0.3">
      <c r="B12" s="6">
        <v>45054</v>
      </c>
      <c r="C12" s="7">
        <v>1882</v>
      </c>
      <c r="D12" s="10">
        <f t="shared" si="8"/>
        <v>1674.4285714285713</v>
      </c>
      <c r="E12" s="10">
        <f t="shared" si="9"/>
        <v>207.57142857142867</v>
      </c>
      <c r="F12" s="8" t="str">
        <f t="shared" si="0"/>
        <v>Mon</v>
      </c>
      <c r="G12" s="3"/>
      <c r="H12" s="3"/>
      <c r="I12" s="3"/>
      <c r="J12" s="3"/>
      <c r="K12" s="3"/>
      <c r="AG12" s="17"/>
      <c r="AU12" s="18"/>
    </row>
    <row r="13" spans="2:47" x14ac:dyDescent="0.3">
      <c r="B13" s="6">
        <v>45055</v>
      </c>
      <c r="C13" s="7">
        <v>2306</v>
      </c>
      <c r="D13" s="10">
        <f t="shared" si="8"/>
        <v>1647.2857142857142</v>
      </c>
      <c r="E13" s="10">
        <f t="shared" si="9"/>
        <v>658.71428571428578</v>
      </c>
      <c r="F13" s="8" t="str">
        <f t="shared" si="0"/>
        <v>Tue</v>
      </c>
      <c r="G13" s="3"/>
      <c r="H13" s="3"/>
      <c r="I13" s="3"/>
      <c r="J13" s="3"/>
      <c r="K13" s="3"/>
      <c r="AG13" s="17"/>
      <c r="AU13" s="18"/>
    </row>
    <row r="14" spans="2:47" x14ac:dyDescent="0.3">
      <c r="B14" s="6">
        <v>45056</v>
      </c>
      <c r="C14" s="7">
        <v>1988</v>
      </c>
      <c r="D14" s="10">
        <f t="shared" si="8"/>
        <v>1612.7142857142858</v>
      </c>
      <c r="E14" s="10">
        <f t="shared" si="9"/>
        <v>375.28571428571422</v>
      </c>
      <c r="F14" s="8" t="str">
        <f t="shared" si="0"/>
        <v>Wed</v>
      </c>
      <c r="G14" s="3"/>
      <c r="H14" s="3"/>
      <c r="I14" s="3"/>
      <c r="J14" s="3"/>
      <c r="K14" s="3"/>
      <c r="AG14" s="17"/>
      <c r="AU14" s="18"/>
    </row>
    <row r="15" spans="2:47" x14ac:dyDescent="0.3">
      <c r="B15" s="6">
        <v>45057</v>
      </c>
      <c r="C15" s="7">
        <v>1886</v>
      </c>
      <c r="D15" s="10">
        <f t="shared" si="8"/>
        <v>1639.5714285714287</v>
      </c>
      <c r="E15" s="10">
        <f t="shared" si="9"/>
        <v>246.42857142857133</v>
      </c>
      <c r="F15" s="8" t="str">
        <f t="shared" si="0"/>
        <v>Thu</v>
      </c>
      <c r="G15" s="3"/>
      <c r="H15" s="3"/>
      <c r="I15" s="3"/>
      <c r="J15" s="3"/>
      <c r="K15" s="3"/>
      <c r="AG15" s="17"/>
      <c r="AU15" s="18"/>
    </row>
    <row r="16" spans="2:47" ht="16.2" thickBot="1" x14ac:dyDescent="0.35">
      <c r="B16" s="6">
        <v>45058</v>
      </c>
      <c r="C16" s="7">
        <v>1365</v>
      </c>
      <c r="D16" s="10">
        <f t="shared" si="8"/>
        <v>1642.8571428571429</v>
      </c>
      <c r="E16" s="10">
        <f t="shared" si="9"/>
        <v>-277.85714285714289</v>
      </c>
      <c r="F16" s="8" t="str">
        <f t="shared" si="0"/>
        <v>Fri</v>
      </c>
      <c r="G16" s="3"/>
      <c r="H16" s="3"/>
      <c r="I16" s="3"/>
      <c r="J16" s="3"/>
      <c r="K16" s="3"/>
      <c r="AG16" s="19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1"/>
    </row>
    <row r="17" spans="2:28" x14ac:dyDescent="0.3">
      <c r="B17" s="6">
        <v>45059</v>
      </c>
      <c r="C17" s="7">
        <v>998</v>
      </c>
      <c r="D17" s="10">
        <f t="shared" si="8"/>
        <v>1565.8571428571429</v>
      </c>
      <c r="E17" s="10">
        <f t="shared" si="9"/>
        <v>-567.85714285714289</v>
      </c>
      <c r="F17" s="8" t="str">
        <f t="shared" si="0"/>
        <v>Sat</v>
      </c>
      <c r="G17" s="3"/>
      <c r="H17" s="3"/>
      <c r="I17" s="3"/>
      <c r="J17" s="3"/>
      <c r="K17" s="3"/>
    </row>
    <row r="18" spans="2:28" x14ac:dyDescent="0.3">
      <c r="B18" s="6">
        <v>45060</v>
      </c>
      <c r="C18" s="7">
        <v>1052</v>
      </c>
      <c r="D18" s="10">
        <f t="shared" si="8"/>
        <v>1554.8571428571429</v>
      </c>
      <c r="E18" s="10">
        <f t="shared" si="9"/>
        <v>-502.85714285714289</v>
      </c>
      <c r="F18" s="8" t="str">
        <f t="shared" si="0"/>
        <v>Sun</v>
      </c>
      <c r="G18" s="3"/>
      <c r="H18" s="3"/>
      <c r="I18" s="3"/>
      <c r="J18" s="3"/>
      <c r="K18" s="3"/>
    </row>
    <row r="19" spans="2:28" x14ac:dyDescent="0.3">
      <c r="B19" s="6">
        <v>45061</v>
      </c>
      <c r="C19" s="7">
        <v>1905</v>
      </c>
      <c r="D19" s="10">
        <f t="shared" si="8"/>
        <v>1576.2857142857142</v>
      </c>
      <c r="E19" s="10">
        <f t="shared" si="9"/>
        <v>328.71428571428578</v>
      </c>
      <c r="F19" s="8" t="str">
        <f t="shared" si="0"/>
        <v>Mon</v>
      </c>
      <c r="G19" s="3"/>
      <c r="H19" s="3"/>
      <c r="I19" s="3"/>
      <c r="J19" s="3"/>
      <c r="K19" s="3"/>
    </row>
    <row r="20" spans="2:28" x14ac:dyDescent="0.3">
      <c r="B20" s="6">
        <v>45062</v>
      </c>
      <c r="C20" s="7">
        <v>1767</v>
      </c>
      <c r="D20" s="10">
        <f t="shared" si="8"/>
        <v>1585.2857142857142</v>
      </c>
      <c r="E20" s="10">
        <f t="shared" si="9"/>
        <v>181.71428571428578</v>
      </c>
      <c r="F20" s="8" t="str">
        <f t="shared" si="0"/>
        <v>Tue</v>
      </c>
      <c r="G20" s="3"/>
      <c r="H20" s="3"/>
      <c r="I20" s="3"/>
      <c r="J20" s="3"/>
      <c r="K20" s="3"/>
      <c r="AB20" s="12"/>
    </row>
    <row r="21" spans="2:28" x14ac:dyDescent="0.3">
      <c r="B21" s="6">
        <v>45063</v>
      </c>
      <c r="C21" s="7">
        <v>1911</v>
      </c>
      <c r="D21" s="10">
        <f t="shared" si="8"/>
        <v>1586.7142857142858</v>
      </c>
      <c r="E21" s="10">
        <f t="shared" si="9"/>
        <v>324.28571428571422</v>
      </c>
      <c r="F21" s="8" t="str">
        <f t="shared" si="0"/>
        <v>Wed</v>
      </c>
      <c r="G21" s="3"/>
      <c r="H21" s="3"/>
      <c r="I21" s="3"/>
      <c r="J21" s="3"/>
      <c r="K21" s="3"/>
    </row>
    <row r="22" spans="2:28" x14ac:dyDescent="0.3">
      <c r="B22" s="6">
        <v>45064</v>
      </c>
      <c r="C22" s="7">
        <v>2036</v>
      </c>
      <c r="D22" s="10">
        <f t="shared" si="8"/>
        <v>1591</v>
      </c>
      <c r="E22" s="10">
        <f t="shared" si="9"/>
        <v>445</v>
      </c>
      <c r="F22" s="8" t="str">
        <f t="shared" si="0"/>
        <v>Thu</v>
      </c>
      <c r="G22" s="3"/>
      <c r="H22" s="3"/>
      <c r="I22" s="3"/>
      <c r="J22" s="3"/>
      <c r="K22" s="3"/>
    </row>
    <row r="23" spans="2:28" x14ac:dyDescent="0.3">
      <c r="B23" s="6">
        <v>45065</v>
      </c>
      <c r="C23" s="7">
        <v>1428</v>
      </c>
      <c r="D23" s="10">
        <f t="shared" si="8"/>
        <v>1593.2857142857142</v>
      </c>
      <c r="E23" s="10">
        <f t="shared" si="9"/>
        <v>-165.28571428571422</v>
      </c>
      <c r="F23" s="8" t="str">
        <f t="shared" si="0"/>
        <v>Fri</v>
      </c>
      <c r="G23" s="3"/>
      <c r="H23" s="3"/>
      <c r="I23" s="3"/>
      <c r="J23" s="3"/>
      <c r="K23" s="3"/>
    </row>
    <row r="24" spans="2:28" x14ac:dyDescent="0.3">
      <c r="B24" s="6">
        <v>45066</v>
      </c>
      <c r="C24" s="7">
        <v>1008</v>
      </c>
      <c r="D24" s="10">
        <f t="shared" si="8"/>
        <v>1595.1428571428571</v>
      </c>
      <c r="E24" s="10">
        <f t="shared" si="9"/>
        <v>-587.14285714285711</v>
      </c>
      <c r="F24" s="8" t="str">
        <f t="shared" si="0"/>
        <v>Sat</v>
      </c>
      <c r="G24" s="3"/>
      <c r="H24" s="3"/>
      <c r="I24" s="3"/>
      <c r="J24" s="3"/>
      <c r="K24" s="3"/>
    </row>
    <row r="25" spans="2:28" x14ac:dyDescent="0.3">
      <c r="B25" s="6">
        <v>45067</v>
      </c>
      <c r="C25" s="7">
        <v>1082</v>
      </c>
      <c r="D25" s="10">
        <f t="shared" si="8"/>
        <v>1618</v>
      </c>
      <c r="E25" s="10">
        <f t="shared" si="9"/>
        <v>-536</v>
      </c>
      <c r="F25" s="8" t="str">
        <f t="shared" si="0"/>
        <v>Sun</v>
      </c>
      <c r="G25" s="3"/>
      <c r="H25" s="3"/>
      <c r="I25" s="3"/>
      <c r="J25" s="3"/>
      <c r="K25" s="3"/>
    </row>
    <row r="26" spans="2:28" x14ac:dyDescent="0.3">
      <c r="B26" s="6">
        <v>45068</v>
      </c>
      <c r="C26" s="7">
        <v>1921</v>
      </c>
      <c r="D26" s="10">
        <f t="shared" si="8"/>
        <v>1586.1428571428571</v>
      </c>
      <c r="E26" s="10">
        <f t="shared" si="9"/>
        <v>334.85714285714289</v>
      </c>
      <c r="F26" s="8" t="str">
        <f t="shared" si="0"/>
        <v>Mon</v>
      </c>
      <c r="G26" s="3"/>
      <c r="H26" s="3"/>
      <c r="I26" s="3"/>
      <c r="J26" s="3"/>
      <c r="K26" s="3"/>
    </row>
    <row r="27" spans="2:28" x14ac:dyDescent="0.3">
      <c r="B27" s="6">
        <v>45069</v>
      </c>
      <c r="C27" s="7">
        <v>1780</v>
      </c>
      <c r="D27" s="10">
        <f t="shared" si="8"/>
        <v>1636.4285714285713</v>
      </c>
      <c r="E27" s="10">
        <f t="shared" si="9"/>
        <v>143.57142857142867</v>
      </c>
      <c r="F27" s="8" t="str">
        <f t="shared" si="0"/>
        <v>Tue</v>
      </c>
      <c r="G27" s="3"/>
      <c r="H27" s="3"/>
      <c r="I27" s="3"/>
      <c r="J27" s="3"/>
      <c r="K27" s="3"/>
    </row>
    <row r="28" spans="2:28" x14ac:dyDescent="0.3">
      <c r="B28" s="6">
        <v>45070</v>
      </c>
      <c r="C28" s="7">
        <v>2071</v>
      </c>
      <c r="D28" s="10">
        <f t="shared" si="8"/>
        <v>1669</v>
      </c>
      <c r="E28" s="10">
        <f t="shared" si="9"/>
        <v>402</v>
      </c>
      <c r="F28" s="8" t="str">
        <f t="shared" si="0"/>
        <v>Wed</v>
      </c>
      <c r="G28" s="3"/>
      <c r="H28" s="3"/>
      <c r="I28" s="3"/>
      <c r="J28" s="3"/>
      <c r="K28" s="3"/>
    </row>
    <row r="29" spans="2:28" x14ac:dyDescent="0.3">
      <c r="B29" s="6">
        <v>45071</v>
      </c>
      <c r="C29" s="7">
        <v>1813</v>
      </c>
      <c r="D29" s="10">
        <f t="shared" si="8"/>
        <v>1669</v>
      </c>
      <c r="E29" s="10">
        <f t="shared" si="9"/>
        <v>144</v>
      </c>
      <c r="F29" s="8" t="str">
        <f t="shared" si="0"/>
        <v>Thu</v>
      </c>
      <c r="G29" s="3"/>
      <c r="H29" s="3"/>
      <c r="I29" s="3"/>
      <c r="J29" s="3"/>
      <c r="K29" s="3"/>
    </row>
    <row r="30" spans="2:28" x14ac:dyDescent="0.3">
      <c r="B30" s="6">
        <v>45072</v>
      </c>
      <c r="C30" s="7">
        <v>1780</v>
      </c>
      <c r="D30" s="10">
        <f t="shared" si="8"/>
        <v>1648.4285714285713</v>
      </c>
      <c r="E30" s="10">
        <f t="shared" si="9"/>
        <v>131.57142857142867</v>
      </c>
      <c r="F30" s="8" t="str">
        <f t="shared" si="0"/>
        <v>Fri</v>
      </c>
      <c r="G30" s="3"/>
      <c r="H30" s="3"/>
      <c r="I30" s="3"/>
      <c r="J30" s="3"/>
      <c r="K30" s="3"/>
    </row>
    <row r="31" spans="2:28" x14ac:dyDescent="0.3">
      <c r="B31" s="6">
        <v>45073</v>
      </c>
      <c r="C31" s="7">
        <v>1236</v>
      </c>
      <c r="D31" s="10">
        <f t="shared" si="8"/>
        <v>1646.4285714285713</v>
      </c>
      <c r="E31" s="10">
        <f t="shared" si="9"/>
        <v>-410.42857142857133</v>
      </c>
      <c r="F31" s="8" t="str">
        <f t="shared" si="0"/>
        <v>Sat</v>
      </c>
      <c r="G31" s="3"/>
      <c r="H31" s="3"/>
      <c r="I31" s="3"/>
      <c r="J31" s="3"/>
      <c r="K31" s="3"/>
    </row>
    <row r="32" spans="2:28" x14ac:dyDescent="0.3">
      <c r="B32" s="6">
        <v>45074</v>
      </c>
      <c r="C32" s="7">
        <v>1082</v>
      </c>
      <c r="D32" s="10">
        <f t="shared" si="8"/>
        <v>1619.7142857142858</v>
      </c>
      <c r="E32" s="10">
        <f t="shared" si="9"/>
        <v>-537.71428571428578</v>
      </c>
      <c r="F32" s="8" t="str">
        <f t="shared" si="0"/>
        <v>Sun</v>
      </c>
      <c r="G32" s="3"/>
      <c r="H32" s="3"/>
      <c r="I32" s="3"/>
      <c r="J32" s="3"/>
      <c r="K32" s="3"/>
      <c r="L32" s="1" t="str">
        <f>TEXT(B5,"")</f>
        <v/>
      </c>
    </row>
    <row r="33" spans="2:11" x14ac:dyDescent="0.3">
      <c r="B33" s="6">
        <v>45075</v>
      </c>
      <c r="C33" s="7">
        <v>1777</v>
      </c>
      <c r="D33" s="10">
        <f t="shared" si="8"/>
        <v>1615</v>
      </c>
      <c r="E33" s="10">
        <f t="shared" si="9"/>
        <v>162</v>
      </c>
      <c r="F33" s="8" t="str">
        <f t="shared" si="0"/>
        <v>Mon</v>
      </c>
      <c r="G33" s="3"/>
      <c r="H33" s="3"/>
      <c r="I33" s="3"/>
      <c r="J33" s="3"/>
      <c r="K33" s="3"/>
    </row>
    <row r="34" spans="2:11" x14ac:dyDescent="0.3">
      <c r="B34" s="6">
        <v>45076</v>
      </c>
      <c r="C34" s="7">
        <v>1766</v>
      </c>
      <c r="D34" s="10">
        <f t="shared" si="8"/>
        <v>1585.2857142857142</v>
      </c>
      <c r="E34" s="10">
        <f t="shared" si="9"/>
        <v>180.71428571428578</v>
      </c>
      <c r="F34" s="8" t="str">
        <f t="shared" si="0"/>
        <v>Tue</v>
      </c>
      <c r="G34" s="3"/>
      <c r="H34" s="3"/>
      <c r="I34" s="3"/>
      <c r="J34" s="3"/>
      <c r="K34" s="3"/>
    </row>
    <row r="35" spans="2:11" x14ac:dyDescent="0.3">
      <c r="B35" s="6">
        <v>45077</v>
      </c>
      <c r="C35" s="7">
        <v>1884</v>
      </c>
      <c r="D35" s="10">
        <f t="shared" si="8"/>
        <v>1544.1428571428571</v>
      </c>
      <c r="E35" s="10">
        <f t="shared" si="9"/>
        <v>339.85714285714289</v>
      </c>
      <c r="F35" s="8" t="str">
        <f t="shared" si="0"/>
        <v>Wed</v>
      </c>
      <c r="G35" s="3"/>
      <c r="H35" s="3"/>
      <c r="I35" s="3"/>
      <c r="J35" s="3"/>
      <c r="K35" s="3"/>
    </row>
    <row r="36" spans="2:11" x14ac:dyDescent="0.3">
      <c r="B36" s="6">
        <v>45078</v>
      </c>
      <c r="C36" s="7">
        <v>1780</v>
      </c>
      <c r="D36" s="10">
        <f t="shared" si="8"/>
        <v>1544.5714285714287</v>
      </c>
      <c r="E36" s="10">
        <f t="shared" si="9"/>
        <v>235.42857142857133</v>
      </c>
      <c r="F36" s="8" t="str">
        <f t="shared" si="0"/>
        <v>Thu</v>
      </c>
      <c r="G36" s="3"/>
      <c r="H36" s="3"/>
      <c r="I36" s="3"/>
      <c r="J36" s="3"/>
      <c r="K36" s="3"/>
    </row>
    <row r="37" spans="2:11" x14ac:dyDescent="0.3">
      <c r="B37" s="6">
        <v>45079</v>
      </c>
      <c r="C37" s="7">
        <v>1572</v>
      </c>
      <c r="D37" s="10">
        <f t="shared" si="8"/>
        <v>1707.4285714285713</v>
      </c>
      <c r="E37" s="10">
        <f t="shared" si="9"/>
        <v>-135.42857142857133</v>
      </c>
      <c r="F37" s="8" t="str">
        <f t="shared" ref="F37:F60" si="10">TEXT(B37,"ddd")</f>
        <v>Fri</v>
      </c>
      <c r="G37" s="3"/>
      <c r="H37" s="3"/>
      <c r="I37" s="3"/>
      <c r="J37" s="3"/>
      <c r="K37" s="3"/>
    </row>
    <row r="38" spans="2:11" x14ac:dyDescent="0.3">
      <c r="B38" s="6">
        <v>45080</v>
      </c>
      <c r="C38" s="7">
        <v>948</v>
      </c>
      <c r="D38" s="10">
        <f t="shared" si="8"/>
        <v>1855.2857142857142</v>
      </c>
      <c r="E38" s="10">
        <f t="shared" si="9"/>
        <v>-907.28571428571422</v>
      </c>
      <c r="F38" s="8" t="str">
        <f t="shared" si="10"/>
        <v>Sat</v>
      </c>
      <c r="G38" s="3"/>
      <c r="H38" s="3"/>
      <c r="I38" s="3"/>
      <c r="J38" s="3"/>
      <c r="K38" s="3"/>
    </row>
    <row r="39" spans="2:11" x14ac:dyDescent="0.3">
      <c r="B39" s="6">
        <v>45081</v>
      </c>
      <c r="C39" s="7">
        <v>1085</v>
      </c>
      <c r="D39" s="10">
        <f t="shared" si="8"/>
        <v>2025.4285714285713</v>
      </c>
      <c r="E39" s="10">
        <f t="shared" si="9"/>
        <v>-940.42857142857133</v>
      </c>
      <c r="F39" s="8" t="str">
        <f t="shared" si="10"/>
        <v>Sun</v>
      </c>
      <c r="G39" s="3"/>
      <c r="H39" s="3"/>
      <c r="I39" s="3"/>
      <c r="J39" s="3"/>
      <c r="K39" s="3"/>
    </row>
    <row r="40" spans="2:11" x14ac:dyDescent="0.3">
      <c r="B40" s="6">
        <v>45082</v>
      </c>
      <c r="C40" s="7">
        <v>2917</v>
      </c>
      <c r="D40" s="10">
        <f t="shared" si="8"/>
        <v>2162.1428571428573</v>
      </c>
      <c r="E40" s="10">
        <f t="shared" si="9"/>
        <v>754.85714285714266</v>
      </c>
      <c r="F40" s="8" t="str">
        <f t="shared" si="10"/>
        <v>Mon</v>
      </c>
      <c r="G40" s="3"/>
      <c r="H40" s="3"/>
      <c r="I40" s="3"/>
      <c r="J40" s="3"/>
      <c r="K40" s="3"/>
    </row>
    <row r="41" spans="2:11" x14ac:dyDescent="0.3">
      <c r="B41" s="6">
        <v>45083</v>
      </c>
      <c r="C41" s="7">
        <v>2801</v>
      </c>
      <c r="D41" s="10">
        <f t="shared" si="8"/>
        <v>2270.2857142857142</v>
      </c>
      <c r="E41" s="10">
        <f t="shared" si="9"/>
        <v>530.71428571428578</v>
      </c>
      <c r="F41" s="8" t="str">
        <f t="shared" si="10"/>
        <v>Tue</v>
      </c>
      <c r="G41" s="3"/>
      <c r="H41" s="3"/>
      <c r="I41" s="3"/>
      <c r="J41" s="3"/>
      <c r="K41" s="3"/>
    </row>
    <row r="42" spans="2:11" x14ac:dyDescent="0.3">
      <c r="B42" s="6">
        <v>45084</v>
      </c>
      <c r="C42" s="7">
        <v>3075</v>
      </c>
      <c r="D42" s="10">
        <f t="shared" si="8"/>
        <v>2354.8571428571427</v>
      </c>
      <c r="E42" s="10">
        <f t="shared" si="9"/>
        <v>720.14285714285734</v>
      </c>
      <c r="F42" s="8" t="str">
        <f t="shared" si="10"/>
        <v>Wed</v>
      </c>
      <c r="G42" s="3"/>
      <c r="H42" s="3"/>
      <c r="I42" s="3"/>
      <c r="J42" s="3"/>
      <c r="K42" s="3"/>
    </row>
    <row r="43" spans="2:11" x14ac:dyDescent="0.3">
      <c r="B43" s="6">
        <v>45085</v>
      </c>
      <c r="C43" s="7">
        <v>2737</v>
      </c>
      <c r="D43" s="10">
        <f t="shared" si="8"/>
        <v>2455.1428571428573</v>
      </c>
      <c r="E43" s="10">
        <f t="shared" si="9"/>
        <v>281.85714285714266</v>
      </c>
      <c r="F43" s="8" t="str">
        <f t="shared" si="10"/>
        <v>Thu</v>
      </c>
      <c r="G43" s="3"/>
      <c r="H43" s="3"/>
      <c r="I43" s="3"/>
      <c r="J43" s="3"/>
      <c r="K43" s="3"/>
    </row>
    <row r="44" spans="2:11" x14ac:dyDescent="0.3">
      <c r="B44" s="6">
        <v>45086</v>
      </c>
      <c r="C44" s="7">
        <v>2329</v>
      </c>
      <c r="D44" s="10">
        <f t="shared" si="8"/>
        <v>2481.5714285714284</v>
      </c>
      <c r="E44" s="10">
        <f t="shared" si="9"/>
        <v>-152.57142857142844</v>
      </c>
      <c r="F44" s="8" t="str">
        <f t="shared" si="10"/>
        <v>Fri</v>
      </c>
      <c r="G44" s="3"/>
      <c r="H44" s="3"/>
      <c r="I44" s="3"/>
      <c r="J44" s="3"/>
      <c r="K44" s="3"/>
    </row>
    <row r="45" spans="2:11" x14ac:dyDescent="0.3">
      <c r="B45" s="6">
        <v>45087</v>
      </c>
      <c r="C45" s="7">
        <v>1540</v>
      </c>
      <c r="D45" s="10">
        <f t="shared" si="8"/>
        <v>2424.7142857142858</v>
      </c>
      <c r="E45" s="10">
        <f t="shared" si="9"/>
        <v>-884.71428571428578</v>
      </c>
      <c r="F45" s="8" t="str">
        <f t="shared" si="10"/>
        <v>Sat</v>
      </c>
      <c r="G45" s="3"/>
      <c r="H45" s="3"/>
      <c r="I45" s="3"/>
      <c r="J45" s="3"/>
      <c r="K45" s="3"/>
    </row>
    <row r="46" spans="2:11" x14ac:dyDescent="0.3">
      <c r="B46" s="6">
        <v>45088</v>
      </c>
      <c r="C46" s="7">
        <v>1787</v>
      </c>
      <c r="D46" s="10">
        <f t="shared" si="8"/>
        <v>2403.5714285714284</v>
      </c>
      <c r="E46" s="10">
        <f t="shared" si="9"/>
        <v>-616.57142857142844</v>
      </c>
      <c r="F46" s="8" t="str">
        <f t="shared" si="10"/>
        <v>Sun</v>
      </c>
      <c r="G46" s="3"/>
      <c r="H46" s="3"/>
      <c r="I46" s="3"/>
      <c r="J46" s="3"/>
      <c r="K46" s="3"/>
    </row>
    <row r="47" spans="2:11" x14ac:dyDescent="0.3">
      <c r="B47" s="6">
        <v>45089</v>
      </c>
      <c r="C47" s="7">
        <v>3102</v>
      </c>
      <c r="D47" s="10">
        <f t="shared" si="8"/>
        <v>2471.5714285714284</v>
      </c>
      <c r="E47" s="10">
        <f t="shared" si="9"/>
        <v>630.42857142857156</v>
      </c>
      <c r="F47" s="8" t="str">
        <f t="shared" si="10"/>
        <v>Mon</v>
      </c>
      <c r="G47" s="3"/>
      <c r="H47" s="3"/>
      <c r="I47" s="3"/>
      <c r="J47" s="3"/>
      <c r="K47" s="3"/>
    </row>
    <row r="48" spans="2:11" x14ac:dyDescent="0.3">
      <c r="B48" s="6">
        <v>45090</v>
      </c>
      <c r="C48" s="7">
        <v>2403</v>
      </c>
      <c r="D48" s="10">
        <f t="shared" si="8"/>
        <v>2452.2857142857142</v>
      </c>
      <c r="E48" s="10">
        <f t="shared" si="9"/>
        <v>-49.285714285714221</v>
      </c>
      <c r="F48" s="8" t="str">
        <f t="shared" si="10"/>
        <v>Tue</v>
      </c>
      <c r="G48" s="3"/>
      <c r="H48" s="3"/>
      <c r="I48" s="3"/>
      <c r="J48" s="3"/>
      <c r="K48" s="3"/>
    </row>
    <row r="49" spans="2:11" x14ac:dyDescent="0.3">
      <c r="B49" s="6">
        <v>45091</v>
      </c>
      <c r="C49" s="7">
        <v>2927</v>
      </c>
      <c r="D49" s="10">
        <f t="shared" si="8"/>
        <v>2486.5714285714284</v>
      </c>
      <c r="E49" s="10">
        <f t="shared" si="9"/>
        <v>440.42857142857156</v>
      </c>
      <c r="F49" s="8" t="str">
        <f t="shared" si="10"/>
        <v>Wed</v>
      </c>
      <c r="G49" s="3"/>
      <c r="H49" s="3"/>
      <c r="I49" s="3"/>
      <c r="J49" s="3"/>
      <c r="K49" s="3"/>
    </row>
    <row r="50" spans="2:11" x14ac:dyDescent="0.3">
      <c r="B50" s="6">
        <v>45092</v>
      </c>
      <c r="C50" s="7">
        <v>3213</v>
      </c>
      <c r="D50" s="10">
        <f t="shared" si="8"/>
        <v>2432.4285714285716</v>
      </c>
      <c r="E50" s="10">
        <f t="shared" si="9"/>
        <v>780.57142857142844</v>
      </c>
      <c r="F50" s="8" t="str">
        <f t="shared" si="10"/>
        <v>Thu</v>
      </c>
      <c r="G50" s="3"/>
      <c r="H50" s="3"/>
      <c r="I50" s="3"/>
      <c r="J50" s="3"/>
      <c r="K50" s="3"/>
    </row>
    <row r="51" spans="2:11" x14ac:dyDescent="0.3">
      <c r="B51" s="6">
        <v>45093</v>
      </c>
      <c r="C51" s="7">
        <v>2194</v>
      </c>
      <c r="D51" s="10">
        <f t="shared" si="8"/>
        <v>2406.4285714285716</v>
      </c>
      <c r="E51" s="10">
        <f t="shared" si="9"/>
        <v>-212.42857142857156</v>
      </c>
      <c r="F51" s="8" t="str">
        <f t="shared" si="10"/>
        <v>Fri</v>
      </c>
      <c r="G51" s="3"/>
      <c r="H51" s="3"/>
      <c r="I51" s="3"/>
      <c r="J51" s="3"/>
      <c r="K51" s="3"/>
    </row>
    <row r="52" spans="2:11" x14ac:dyDescent="0.3">
      <c r="B52" s="6">
        <v>45094</v>
      </c>
      <c r="C52" s="7">
        <v>1780</v>
      </c>
      <c r="D52" s="10">
        <f t="shared" si="8"/>
        <v>2441.2857142857142</v>
      </c>
      <c r="E52" s="10">
        <f t="shared" si="9"/>
        <v>-661.28571428571422</v>
      </c>
      <c r="F52" s="8" t="str">
        <f t="shared" si="10"/>
        <v>Sat</v>
      </c>
      <c r="G52" s="3"/>
      <c r="H52" s="3"/>
      <c r="I52" s="3"/>
      <c r="J52" s="3"/>
      <c r="K52" s="3"/>
    </row>
    <row r="53" spans="2:11" x14ac:dyDescent="0.3">
      <c r="B53" s="6">
        <v>45095</v>
      </c>
      <c r="C53" s="7">
        <v>1408</v>
      </c>
      <c r="D53" s="10">
        <f t="shared" si="8"/>
        <v>2454.5714285714284</v>
      </c>
      <c r="E53" s="10">
        <f t="shared" si="9"/>
        <v>-1046.5714285714284</v>
      </c>
      <c r="F53" s="8" t="str">
        <f t="shared" si="10"/>
        <v>Sun</v>
      </c>
      <c r="G53" s="3"/>
      <c r="H53" s="3"/>
    </row>
    <row r="54" spans="2:11" x14ac:dyDescent="0.3">
      <c r="B54" s="6">
        <v>45096</v>
      </c>
      <c r="C54" s="7">
        <v>2920</v>
      </c>
      <c r="D54" s="10">
        <f t="shared" si="8"/>
        <v>2329.5714285714284</v>
      </c>
      <c r="E54" s="10">
        <f t="shared" si="9"/>
        <v>590.42857142857156</v>
      </c>
      <c r="F54" s="8" t="str">
        <f t="shared" si="10"/>
        <v>Mon</v>
      </c>
      <c r="G54" s="3"/>
      <c r="H54" s="3"/>
    </row>
    <row r="55" spans="2:11" x14ac:dyDescent="0.3">
      <c r="B55" s="6">
        <v>45097</v>
      </c>
      <c r="C55" s="7">
        <v>2647</v>
      </c>
      <c r="D55" s="10">
        <f t="shared" si="8"/>
        <v>2437.5714285714284</v>
      </c>
      <c r="E55" s="10">
        <f t="shared" si="9"/>
        <v>209.42857142857156</v>
      </c>
      <c r="F55" s="8" t="str">
        <f t="shared" si="10"/>
        <v>Tue</v>
      </c>
      <c r="G55" s="3"/>
      <c r="H55" s="3"/>
    </row>
    <row r="56" spans="2:11" x14ac:dyDescent="0.3">
      <c r="B56" s="6">
        <v>45098</v>
      </c>
      <c r="C56" s="7">
        <v>3020</v>
      </c>
      <c r="D56" s="10">
        <f t="shared" si="8"/>
        <v>2412</v>
      </c>
      <c r="E56" s="10">
        <f t="shared" si="9"/>
        <v>608</v>
      </c>
      <c r="F56" s="8" t="str">
        <f t="shared" si="10"/>
        <v>Wed</v>
      </c>
      <c r="G56" s="3"/>
      <c r="H56" s="3"/>
    </row>
    <row r="57" spans="2:11" x14ac:dyDescent="0.3">
      <c r="B57" s="6">
        <v>45099</v>
      </c>
      <c r="C57" s="7">
        <v>2338</v>
      </c>
      <c r="D57" s="10">
        <f t="shared" si="8"/>
        <v>2441.5714285714284</v>
      </c>
      <c r="E57" s="10">
        <f t="shared" si="9"/>
        <v>-103.57142857142844</v>
      </c>
      <c r="F57" s="8" t="str">
        <f t="shared" si="10"/>
        <v>Thu</v>
      </c>
      <c r="G57" s="3"/>
      <c r="H57" s="3"/>
    </row>
    <row r="58" spans="2:11" x14ac:dyDescent="0.3">
      <c r="B58" s="6">
        <v>45100</v>
      </c>
      <c r="C58" s="7">
        <v>2950</v>
      </c>
      <c r="D58" s="9"/>
      <c r="E58" s="9"/>
      <c r="F58" s="8" t="str">
        <f t="shared" si="10"/>
        <v>Fri</v>
      </c>
      <c r="G58" s="3"/>
      <c r="H58" s="3"/>
    </row>
    <row r="59" spans="2:11" x14ac:dyDescent="0.3">
      <c r="B59" s="6">
        <v>45101</v>
      </c>
      <c r="C59" s="7">
        <v>1601</v>
      </c>
      <c r="D59" s="9"/>
      <c r="E59" s="9"/>
      <c r="F59" s="8" t="str">
        <f t="shared" si="10"/>
        <v>Sat</v>
      </c>
      <c r="G59" s="3"/>
      <c r="H59" s="3"/>
    </row>
    <row r="60" spans="2:11" x14ac:dyDescent="0.3">
      <c r="B60" s="6">
        <v>45102</v>
      </c>
      <c r="C60" s="7">
        <v>1615</v>
      </c>
      <c r="D60" s="9"/>
      <c r="E60" s="9"/>
      <c r="F60" s="8" t="str">
        <f t="shared" si="10"/>
        <v>Sun</v>
      </c>
      <c r="G60" s="3"/>
      <c r="H60" s="3"/>
    </row>
  </sheetData>
  <phoneticPr fontId="5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0F955-A510-42A9-BB76-F45D36968809}">
  <sheetPr codeName="Sheet2"/>
  <dimension ref="A1:AC59"/>
  <sheetViews>
    <sheetView workbookViewId="0"/>
  </sheetViews>
  <sheetFormatPr defaultRowHeight="14.4" x14ac:dyDescent="0.3"/>
  <cols>
    <col min="2" max="3" width="11.33203125" customWidth="1"/>
    <col min="4" max="4" width="23.33203125" bestFit="1" customWidth="1"/>
    <col min="5" max="5" width="12.5546875" bestFit="1" customWidth="1"/>
    <col min="6" max="6" width="15.21875" style="30" bestFit="1" customWidth="1"/>
    <col min="7" max="7" width="20.5546875" bestFit="1" customWidth="1"/>
    <col min="8" max="8" width="19.88671875" bestFit="1" customWidth="1"/>
    <col min="9" max="9" width="19.33203125" customWidth="1"/>
    <col min="10" max="10" width="14.5546875" style="27" customWidth="1"/>
    <col min="11" max="11" width="22.5546875" customWidth="1"/>
    <col min="12" max="12" width="22.21875" bestFit="1" customWidth="1"/>
    <col min="13" max="13" width="31.5546875" bestFit="1" customWidth="1"/>
    <col min="14" max="14" width="28.33203125" style="27" bestFit="1" customWidth="1"/>
    <col min="15" max="15" width="37.44140625" bestFit="1" customWidth="1"/>
    <col min="16" max="16" width="36.77734375" style="65" bestFit="1" customWidth="1"/>
    <col min="20" max="20" width="10.44140625" bestFit="1" customWidth="1"/>
    <col min="21" max="21" width="33.109375" bestFit="1" customWidth="1"/>
    <col min="24" max="24" width="17.44140625" bestFit="1" customWidth="1"/>
    <col min="25" max="25" width="19.77734375" bestFit="1" customWidth="1"/>
    <col min="26" max="26" width="19.6640625" bestFit="1" customWidth="1"/>
    <col min="27" max="27" width="22.6640625" bestFit="1" customWidth="1"/>
    <col min="28" max="29" width="34.88671875" bestFit="1" customWidth="1"/>
  </cols>
  <sheetData>
    <row r="1" spans="1:29" ht="16.2" thickBot="1" x14ac:dyDescent="0.35">
      <c r="A1" s="2" t="s">
        <v>0</v>
      </c>
      <c r="B1" s="1"/>
      <c r="C1" s="1"/>
      <c r="D1" s="1"/>
    </row>
    <row r="2" spans="1:29" ht="24" thickBot="1" x14ac:dyDescent="0.5">
      <c r="A2" s="1"/>
      <c r="B2" s="1"/>
      <c r="C2" s="1"/>
      <c r="D2" s="1"/>
      <c r="E2" s="119" t="s">
        <v>35</v>
      </c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1"/>
      <c r="X2" s="122" t="s">
        <v>35</v>
      </c>
      <c r="Y2" s="123"/>
      <c r="Z2" s="123"/>
      <c r="AA2" s="123"/>
      <c r="AB2" s="123"/>
      <c r="AC2" s="124"/>
    </row>
    <row r="3" spans="1:29" ht="16.2" thickBot="1" x14ac:dyDescent="0.35">
      <c r="A3" s="59" t="s">
        <v>1</v>
      </c>
      <c r="B3" s="60" t="s">
        <v>2</v>
      </c>
      <c r="C3" s="24" t="s">
        <v>22</v>
      </c>
      <c r="D3" s="25" t="s">
        <v>36</v>
      </c>
      <c r="E3" s="61" t="s">
        <v>38</v>
      </c>
      <c r="F3" s="62" t="s">
        <v>26</v>
      </c>
      <c r="G3" s="63" t="s">
        <v>39</v>
      </c>
      <c r="H3" s="63" t="s">
        <v>37</v>
      </c>
      <c r="I3" s="63" t="s">
        <v>27</v>
      </c>
      <c r="J3" s="64" t="s">
        <v>28</v>
      </c>
      <c r="K3" s="63" t="s">
        <v>29</v>
      </c>
      <c r="L3" s="63" t="s">
        <v>30</v>
      </c>
      <c r="M3" s="63" t="s">
        <v>31</v>
      </c>
      <c r="N3" s="64" t="s">
        <v>32</v>
      </c>
      <c r="O3" s="63" t="s">
        <v>33</v>
      </c>
      <c r="P3" s="66" t="s">
        <v>34</v>
      </c>
      <c r="S3" s="34" t="s">
        <v>22</v>
      </c>
      <c r="T3" s="35" t="s">
        <v>40</v>
      </c>
      <c r="U3" s="36" t="s">
        <v>41</v>
      </c>
      <c r="W3" s="96" t="s">
        <v>42</v>
      </c>
      <c r="X3" s="36" t="s">
        <v>47</v>
      </c>
      <c r="Y3" s="36" t="s">
        <v>46</v>
      </c>
      <c r="Z3" s="36" t="s">
        <v>48</v>
      </c>
      <c r="AA3" s="36" t="s">
        <v>49</v>
      </c>
      <c r="AB3" s="36" t="s">
        <v>50</v>
      </c>
      <c r="AC3" s="36" t="s">
        <v>50</v>
      </c>
    </row>
    <row r="4" spans="1:29" ht="16.2" thickBot="1" x14ac:dyDescent="0.35">
      <c r="A4" s="52">
        <v>45047</v>
      </c>
      <c r="B4" s="23">
        <v>1576</v>
      </c>
      <c r="C4" s="23" t="str">
        <f>TEXT(A4,"ddd")</f>
        <v>Mon</v>
      </c>
      <c r="D4" s="23">
        <f>WEEKDAY(A4,1)</f>
        <v>2</v>
      </c>
      <c r="E4" s="53"/>
      <c r="F4" s="54">
        <f>B4-E4</f>
        <v>1576</v>
      </c>
      <c r="G4" s="53">
        <f>ABS(F4)</f>
        <v>1576</v>
      </c>
      <c r="H4" s="55">
        <f>(F4)^2</f>
        <v>2483776</v>
      </c>
      <c r="I4" s="56">
        <f>_xlfn.XLOOKUP(D4,$T$4:$T$10,$U$4:$U$10)</f>
        <v>2154.2857142857142</v>
      </c>
      <c r="J4" s="57">
        <f>B4-I4</f>
        <v>-578.28571428571422</v>
      </c>
      <c r="K4" s="56" cm="1">
        <f t="array" ref="K4:K59">ABS(J4:J59)</f>
        <v>578.28571428571422</v>
      </c>
      <c r="L4" s="58">
        <f>(J4)^2</f>
        <v>334414.3673469387</v>
      </c>
      <c r="M4" s="56">
        <f>_xlfn.FORECAST.ETS(A4,$B$4:$B$52,$A$4:$A$52,7,1,1)</f>
        <v>1637.1712242538815</v>
      </c>
      <c r="N4" s="57">
        <f>B4-M4</f>
        <v>-61.171224253881519</v>
      </c>
      <c r="O4" s="56">
        <f>ABS(N4)</f>
        <v>61.171224253881519</v>
      </c>
      <c r="P4" s="67">
        <f>(N4)^2</f>
        <v>3741.9186767186625</v>
      </c>
      <c r="S4" s="37" t="s">
        <v>10</v>
      </c>
      <c r="T4" s="22">
        <v>1</v>
      </c>
      <c r="U4" s="38">
        <f xml:space="preserve"> AVERAGEIF($D$4:$D$52,T4,$B$4:$B$52)</f>
        <v>1194.2857142857142</v>
      </c>
      <c r="W4" s="96" t="s">
        <v>43</v>
      </c>
      <c r="X4" s="28">
        <f>AVERAGE(F4:F52)</f>
        <v>347.48979591836735</v>
      </c>
      <c r="Y4" s="28">
        <f>AVERAGE(F53:F59)</f>
        <v>9.1428571428571423</v>
      </c>
      <c r="Z4" s="28">
        <f>AVERAGE(J4:J52)</f>
        <v>1.1600697726695513E-13</v>
      </c>
      <c r="AA4" s="28">
        <f>AVERAGE(J53:J59)</f>
        <v>597.44897959183675</v>
      </c>
      <c r="AB4" s="28">
        <f>AVERAGE(N4:N52)</f>
        <v>44.834450838325019</v>
      </c>
      <c r="AC4" s="70">
        <f>AVERAGE(N53:N59)</f>
        <v>15.640102896532815</v>
      </c>
    </row>
    <row r="5" spans="1:29" ht="16.2" thickBot="1" x14ac:dyDescent="0.35">
      <c r="A5" s="42">
        <v>45048</v>
      </c>
      <c r="B5" s="7">
        <v>2299</v>
      </c>
      <c r="C5" s="23" t="str">
        <f t="shared" ref="C5:C59" si="0">TEXT(A5,"ddd")</f>
        <v>Tue</v>
      </c>
      <c r="D5" s="23">
        <f t="shared" ref="D5:D59" si="1">WEEKDAY(A5,1)</f>
        <v>3</v>
      </c>
      <c r="E5" s="22"/>
      <c r="F5" s="31">
        <f t="shared" ref="F5:F59" si="2">B5-E5</f>
        <v>2299</v>
      </c>
      <c r="G5" s="22">
        <f t="shared" ref="G5:G59" si="3">ABS(F5)</f>
        <v>2299</v>
      </c>
      <c r="H5" s="32">
        <f t="shared" ref="H5:H59" si="4">(F5)^2</f>
        <v>5285401</v>
      </c>
      <c r="I5" s="29">
        <f t="shared" ref="I5:I59" si="5">_xlfn.XLOOKUP(D5,$T$4:$T$10,$U$4:$U$10)</f>
        <v>2160.2857142857142</v>
      </c>
      <c r="J5" s="28">
        <f t="shared" ref="J5:J59" si="6">B5-I5</f>
        <v>138.71428571428578</v>
      </c>
      <c r="K5" s="29">
        <v>138.71428571428578</v>
      </c>
      <c r="L5" s="33">
        <f t="shared" ref="L5:L59" si="7">(J5)^2</f>
        <v>19241.653061224508</v>
      </c>
      <c r="M5" s="29">
        <f t="shared" ref="M5:M59" si="8">_xlfn.FORECAST.ETS(A5,$B$4:$B$52,$A$4:$A$52,7,1,1)</f>
        <v>1610.6805045020192</v>
      </c>
      <c r="N5" s="28">
        <f t="shared" ref="N5:N59" si="9">B5-M5</f>
        <v>688.31949549798082</v>
      </c>
      <c r="O5" s="29">
        <f t="shared" ref="O5:O59" si="10">ABS(N5)</f>
        <v>688.31949549798082</v>
      </c>
      <c r="P5" s="68">
        <f t="shared" ref="P5:P59" si="11">(N5)^2</f>
        <v>473783.72788259486</v>
      </c>
      <c r="S5" s="37" t="s">
        <v>4</v>
      </c>
      <c r="T5" s="22">
        <v>2</v>
      </c>
      <c r="U5" s="38">
        <f t="shared" ref="U5:U10" si="12" xml:space="preserve"> AVERAGEIF($D$4:$D$52,T5,$B$4:$B$52)</f>
        <v>2154.2857142857142</v>
      </c>
      <c r="W5" s="96" t="s">
        <v>44</v>
      </c>
      <c r="X5" s="28">
        <f>AVERAGE(G4:G52)</f>
        <v>478.30612244897958</v>
      </c>
      <c r="Y5" s="28">
        <f>AVERAGE(G53:G59)</f>
        <v>362.28571428571428</v>
      </c>
      <c r="Z5" s="28">
        <f>AVERAGE(K4:K52)</f>
        <v>355.6559766763848</v>
      </c>
      <c r="AA5" s="33">
        <f>AVERAGE(K53:K59)</f>
        <v>597.44897959183675</v>
      </c>
      <c r="AB5" s="28">
        <f>AVERAGE(O4:O52)</f>
        <v>243.79870727033014</v>
      </c>
      <c r="AC5" s="70">
        <f>AVERAGE(O53:O59)</f>
        <v>279.77316955475004</v>
      </c>
    </row>
    <row r="6" spans="1:29" ht="16.2" thickBot="1" x14ac:dyDescent="0.35">
      <c r="A6" s="42">
        <v>45049</v>
      </c>
      <c r="B6" s="7">
        <v>1878</v>
      </c>
      <c r="C6" s="23" t="str">
        <f t="shared" si="0"/>
        <v>Wed</v>
      </c>
      <c r="D6" s="23">
        <f t="shared" si="1"/>
        <v>4</v>
      </c>
      <c r="E6" s="22"/>
      <c r="F6" s="31">
        <f t="shared" si="2"/>
        <v>1878</v>
      </c>
      <c r="G6" s="22">
        <f t="shared" si="3"/>
        <v>1878</v>
      </c>
      <c r="H6" s="32">
        <f t="shared" si="4"/>
        <v>3526884</v>
      </c>
      <c r="I6" s="29">
        <f t="shared" si="5"/>
        <v>2247.7142857142858</v>
      </c>
      <c r="J6" s="28">
        <f t="shared" si="6"/>
        <v>-369.71428571428578</v>
      </c>
      <c r="K6" s="29">
        <v>369.71428571428578</v>
      </c>
      <c r="L6" s="33">
        <f t="shared" si="7"/>
        <v>136688.65306122453</v>
      </c>
      <c r="M6" s="29">
        <f t="shared" si="8"/>
        <v>1705.4401741532283</v>
      </c>
      <c r="N6" s="28">
        <f t="shared" si="9"/>
        <v>172.55982584677167</v>
      </c>
      <c r="O6" s="29">
        <f t="shared" si="10"/>
        <v>172.55982584677167</v>
      </c>
      <c r="P6" s="68">
        <f t="shared" si="11"/>
        <v>29776.893496268171</v>
      </c>
      <c r="S6" s="37" t="s">
        <v>5</v>
      </c>
      <c r="T6" s="22">
        <v>3</v>
      </c>
      <c r="U6" s="38">
        <f t="shared" si="12"/>
        <v>2160.2857142857142</v>
      </c>
      <c r="W6" s="97" t="s">
        <v>45</v>
      </c>
      <c r="X6" s="50">
        <f>SQRT(AVERAGE(H4:H52))</f>
        <v>735.29484576194443</v>
      </c>
      <c r="Y6" s="50">
        <f>SQRT(AVERAGE(H53:H59))</f>
        <v>464.96697271342373</v>
      </c>
      <c r="Z6" s="50">
        <f>SQRT(AVERAGE(L4:L52))</f>
        <v>424.15893797575814</v>
      </c>
      <c r="AA6" s="50">
        <f>SQRT(AVERAGE(L53:L59))</f>
        <v>676.35366264102549</v>
      </c>
      <c r="AB6" s="50">
        <f>SQRT(AVERAGE(P4:P52))</f>
        <v>308.22773193682872</v>
      </c>
      <c r="AC6" s="71">
        <f>SQRT(AVERAGE(P53:P59))</f>
        <v>327.68653170849569</v>
      </c>
    </row>
    <row r="7" spans="1:29" ht="15.6" x14ac:dyDescent="0.3">
      <c r="A7" s="42">
        <v>45050</v>
      </c>
      <c r="B7" s="7">
        <v>1628</v>
      </c>
      <c r="C7" s="23" t="str">
        <f t="shared" si="0"/>
        <v>Thu</v>
      </c>
      <c r="D7" s="23">
        <f t="shared" si="1"/>
        <v>5</v>
      </c>
      <c r="E7" s="22"/>
      <c r="F7" s="31">
        <f t="shared" si="2"/>
        <v>1628</v>
      </c>
      <c r="G7" s="22">
        <f t="shared" si="3"/>
        <v>1628</v>
      </c>
      <c r="H7" s="32">
        <f t="shared" si="4"/>
        <v>2650384</v>
      </c>
      <c r="I7" s="29">
        <f t="shared" si="5"/>
        <v>2156.1428571428573</v>
      </c>
      <c r="J7" s="28">
        <f t="shared" si="6"/>
        <v>-528.14285714285734</v>
      </c>
      <c r="K7" s="29">
        <v>528.14285714285734</v>
      </c>
      <c r="L7" s="33">
        <f t="shared" si="7"/>
        <v>278934.87755102059</v>
      </c>
      <c r="M7" s="29">
        <f t="shared" si="8"/>
        <v>1638.5683666488162</v>
      </c>
      <c r="N7" s="28">
        <f t="shared" si="9"/>
        <v>-10.568366648816209</v>
      </c>
      <c r="O7" s="29">
        <f t="shared" si="10"/>
        <v>10.568366648816209</v>
      </c>
      <c r="P7" s="68">
        <f t="shared" si="11"/>
        <v>111.69037362381074</v>
      </c>
      <c r="S7" s="37" t="s">
        <v>6</v>
      </c>
      <c r="T7" s="22">
        <v>4</v>
      </c>
      <c r="U7" s="38">
        <f t="shared" si="12"/>
        <v>2247.7142857142858</v>
      </c>
    </row>
    <row r="8" spans="1:29" ht="15.6" x14ac:dyDescent="0.3">
      <c r="A8" s="42">
        <v>45051</v>
      </c>
      <c r="B8" s="7">
        <v>1555</v>
      </c>
      <c r="C8" s="23" t="str">
        <f t="shared" si="0"/>
        <v>Fri</v>
      </c>
      <c r="D8" s="23">
        <f t="shared" si="1"/>
        <v>6</v>
      </c>
      <c r="E8" s="22"/>
      <c r="F8" s="31">
        <f t="shared" si="2"/>
        <v>1555</v>
      </c>
      <c r="G8" s="22">
        <f t="shared" si="3"/>
        <v>1555</v>
      </c>
      <c r="H8" s="32">
        <f t="shared" si="4"/>
        <v>2418025</v>
      </c>
      <c r="I8" s="29">
        <f t="shared" si="5"/>
        <v>1746.1428571428571</v>
      </c>
      <c r="J8" s="28">
        <f t="shared" si="6"/>
        <v>-191.14285714285711</v>
      </c>
      <c r="K8" s="29">
        <v>191.14285714285711</v>
      </c>
      <c r="L8" s="33">
        <f t="shared" si="7"/>
        <v>36535.591836734682</v>
      </c>
      <c r="M8" s="29">
        <f t="shared" si="8"/>
        <v>1223.5646784618482</v>
      </c>
      <c r="N8" s="28">
        <f t="shared" si="9"/>
        <v>331.43532153815181</v>
      </c>
      <c r="O8" s="29">
        <f t="shared" si="10"/>
        <v>331.43532153815181</v>
      </c>
      <c r="P8" s="68">
        <f t="shared" si="11"/>
        <v>109849.37236309808</v>
      </c>
      <c r="S8" s="37" t="s">
        <v>7</v>
      </c>
      <c r="T8" s="22">
        <v>5</v>
      </c>
      <c r="U8" s="38">
        <f t="shared" si="12"/>
        <v>2156.1428571428573</v>
      </c>
    </row>
    <row r="9" spans="1:29" ht="15.6" x14ac:dyDescent="0.3">
      <c r="A9" s="42">
        <v>45052</v>
      </c>
      <c r="B9" s="7">
        <v>1240</v>
      </c>
      <c r="C9" s="23" t="str">
        <f t="shared" si="0"/>
        <v>Sat</v>
      </c>
      <c r="D9" s="23">
        <f t="shared" si="1"/>
        <v>7</v>
      </c>
      <c r="E9" s="22"/>
      <c r="F9" s="31">
        <f t="shared" si="2"/>
        <v>1240</v>
      </c>
      <c r="G9" s="22">
        <f t="shared" si="3"/>
        <v>1240</v>
      </c>
      <c r="H9" s="32">
        <f t="shared" si="4"/>
        <v>1537600</v>
      </c>
      <c r="I9" s="29">
        <f t="shared" si="5"/>
        <v>1250</v>
      </c>
      <c r="J9" s="28">
        <f t="shared" si="6"/>
        <v>-10</v>
      </c>
      <c r="K9" s="29">
        <v>10</v>
      </c>
      <c r="L9" s="33">
        <f t="shared" si="7"/>
        <v>100</v>
      </c>
      <c r="M9" s="29">
        <f t="shared" si="8"/>
        <v>772.45544214414224</v>
      </c>
      <c r="N9" s="28">
        <f t="shared" si="9"/>
        <v>467.54455785585776</v>
      </c>
      <c r="O9" s="29">
        <f t="shared" si="10"/>
        <v>467.54455785585776</v>
      </c>
      <c r="P9" s="68">
        <f t="shared" si="11"/>
        <v>218597.91358062954</v>
      </c>
      <c r="S9" s="37" t="s">
        <v>8</v>
      </c>
      <c r="T9" s="22">
        <v>6</v>
      </c>
      <c r="U9" s="38">
        <f t="shared" si="12"/>
        <v>1746.1428571428571</v>
      </c>
    </row>
    <row r="10" spans="1:29" ht="16.2" thickBot="1" x14ac:dyDescent="0.35">
      <c r="A10" s="42">
        <v>45053</v>
      </c>
      <c r="B10" s="7">
        <v>864</v>
      </c>
      <c r="C10" s="23" t="str">
        <f t="shared" si="0"/>
        <v>Sun</v>
      </c>
      <c r="D10" s="23">
        <f t="shared" si="1"/>
        <v>1</v>
      </c>
      <c r="E10" s="22"/>
      <c r="F10" s="31">
        <f t="shared" si="2"/>
        <v>864</v>
      </c>
      <c r="G10" s="22">
        <f t="shared" si="3"/>
        <v>864</v>
      </c>
      <c r="H10" s="32">
        <f t="shared" si="4"/>
        <v>746496</v>
      </c>
      <c r="I10" s="29">
        <f t="shared" si="5"/>
        <v>1194.2857142857142</v>
      </c>
      <c r="J10" s="28">
        <f t="shared" si="6"/>
        <v>-330.28571428571422</v>
      </c>
      <c r="K10" s="29">
        <v>330.28571428571422</v>
      </c>
      <c r="L10" s="33">
        <f t="shared" si="7"/>
        <v>109088.65306122445</v>
      </c>
      <c r="M10" s="29">
        <f t="shared" si="8"/>
        <v>717.25812727338041</v>
      </c>
      <c r="N10" s="28">
        <f t="shared" si="9"/>
        <v>146.74187272661959</v>
      </c>
      <c r="O10" s="29">
        <f t="shared" si="10"/>
        <v>146.74187272661959</v>
      </c>
      <c r="P10" s="68">
        <f t="shared" si="11"/>
        <v>21533.177211315422</v>
      </c>
      <c r="S10" s="39" t="s">
        <v>9</v>
      </c>
      <c r="T10" s="40">
        <v>7</v>
      </c>
      <c r="U10" s="41">
        <f t="shared" si="12"/>
        <v>1250</v>
      </c>
    </row>
    <row r="11" spans="1:29" ht="15.6" x14ac:dyDescent="0.3">
      <c r="A11" s="42">
        <v>45054</v>
      </c>
      <c r="B11" s="7">
        <v>1882</v>
      </c>
      <c r="C11" s="23" t="str">
        <f t="shared" si="0"/>
        <v>Mon</v>
      </c>
      <c r="D11" s="23">
        <f t="shared" si="1"/>
        <v>2</v>
      </c>
      <c r="E11" s="26">
        <f>B4</f>
        <v>1576</v>
      </c>
      <c r="F11" s="31">
        <f t="shared" si="2"/>
        <v>306</v>
      </c>
      <c r="G11" s="22">
        <f t="shared" si="3"/>
        <v>306</v>
      </c>
      <c r="H11" s="32">
        <f t="shared" si="4"/>
        <v>93636</v>
      </c>
      <c r="I11" s="29">
        <f t="shared" si="5"/>
        <v>2154.2857142857142</v>
      </c>
      <c r="J11" s="28">
        <f t="shared" si="6"/>
        <v>-272.28571428571422</v>
      </c>
      <c r="K11" s="29">
        <v>272.28571428571422</v>
      </c>
      <c r="L11" s="33">
        <f t="shared" si="7"/>
        <v>74139.510204081598</v>
      </c>
      <c r="M11" s="29">
        <f t="shared" si="8"/>
        <v>1793.8320561372889</v>
      </c>
      <c r="N11" s="28">
        <f t="shared" si="9"/>
        <v>88.167943862711127</v>
      </c>
      <c r="O11" s="29">
        <f t="shared" si="10"/>
        <v>88.167943862711127</v>
      </c>
      <c r="P11" s="68">
        <f t="shared" si="11"/>
        <v>7773.5863249781805</v>
      </c>
    </row>
    <row r="12" spans="1:29" ht="15.6" x14ac:dyDescent="0.3">
      <c r="A12" s="42">
        <v>45055</v>
      </c>
      <c r="B12" s="7">
        <v>2306</v>
      </c>
      <c r="C12" s="23" t="str">
        <f t="shared" si="0"/>
        <v>Tue</v>
      </c>
      <c r="D12" s="23">
        <f t="shared" si="1"/>
        <v>3</v>
      </c>
      <c r="E12" s="26">
        <f t="shared" ref="E12:E59" si="13">B5</f>
        <v>2299</v>
      </c>
      <c r="F12" s="31">
        <f t="shared" si="2"/>
        <v>7</v>
      </c>
      <c r="G12" s="22">
        <f t="shared" si="3"/>
        <v>7</v>
      </c>
      <c r="H12" s="32">
        <f t="shared" si="4"/>
        <v>49</v>
      </c>
      <c r="I12" s="29">
        <f t="shared" si="5"/>
        <v>2160.2857142857142</v>
      </c>
      <c r="J12" s="28">
        <f t="shared" si="6"/>
        <v>145.71428571428578</v>
      </c>
      <c r="K12" s="29">
        <v>145.71428571428578</v>
      </c>
      <c r="L12" s="33">
        <f t="shared" si="7"/>
        <v>21232.653061224508</v>
      </c>
      <c r="M12" s="29">
        <f t="shared" si="8"/>
        <v>1767.3413363854261</v>
      </c>
      <c r="N12" s="28">
        <f t="shared" si="9"/>
        <v>538.65866361457392</v>
      </c>
      <c r="O12" s="29">
        <f t="shared" si="10"/>
        <v>538.65866361457392</v>
      </c>
      <c r="P12" s="68">
        <f t="shared" si="11"/>
        <v>290153.15588703868</v>
      </c>
    </row>
    <row r="13" spans="1:29" ht="15.6" x14ac:dyDescent="0.3">
      <c r="A13" s="42">
        <v>45056</v>
      </c>
      <c r="B13" s="7">
        <v>1988</v>
      </c>
      <c r="C13" s="23" t="str">
        <f t="shared" si="0"/>
        <v>Wed</v>
      </c>
      <c r="D13" s="23">
        <f t="shared" si="1"/>
        <v>4</v>
      </c>
      <c r="E13" s="26">
        <f t="shared" si="13"/>
        <v>1878</v>
      </c>
      <c r="F13" s="31">
        <f t="shared" si="2"/>
        <v>110</v>
      </c>
      <c r="G13" s="22">
        <f t="shared" si="3"/>
        <v>110</v>
      </c>
      <c r="H13" s="32">
        <f t="shared" si="4"/>
        <v>12100</v>
      </c>
      <c r="I13" s="29">
        <f t="shared" si="5"/>
        <v>2247.7142857142858</v>
      </c>
      <c r="J13" s="28">
        <f t="shared" si="6"/>
        <v>-259.71428571428578</v>
      </c>
      <c r="K13" s="29">
        <v>259.71428571428578</v>
      </c>
      <c r="L13" s="33">
        <f t="shared" si="7"/>
        <v>67451.510204081671</v>
      </c>
      <c r="M13" s="29">
        <f t="shared" si="8"/>
        <v>1862.1010060366357</v>
      </c>
      <c r="N13" s="28">
        <f t="shared" si="9"/>
        <v>125.89899396336432</v>
      </c>
      <c r="O13" s="29">
        <f t="shared" si="10"/>
        <v>125.89899396336432</v>
      </c>
      <c r="P13" s="68">
        <f t="shared" si="11"/>
        <v>15850.556680987245</v>
      </c>
      <c r="T13" s="30"/>
      <c r="X13" s="27"/>
    </row>
    <row r="14" spans="1:29" ht="15.6" x14ac:dyDescent="0.3">
      <c r="A14" s="42">
        <v>45057</v>
      </c>
      <c r="B14" s="7">
        <v>1886</v>
      </c>
      <c r="C14" s="23" t="str">
        <f t="shared" si="0"/>
        <v>Thu</v>
      </c>
      <c r="D14" s="23">
        <f t="shared" si="1"/>
        <v>5</v>
      </c>
      <c r="E14" s="26">
        <f t="shared" si="13"/>
        <v>1628</v>
      </c>
      <c r="F14" s="31">
        <f t="shared" si="2"/>
        <v>258</v>
      </c>
      <c r="G14" s="22">
        <f t="shared" si="3"/>
        <v>258</v>
      </c>
      <c r="H14" s="32">
        <f t="shared" si="4"/>
        <v>66564</v>
      </c>
      <c r="I14" s="29">
        <f t="shared" si="5"/>
        <v>2156.1428571428573</v>
      </c>
      <c r="J14" s="28">
        <f t="shared" si="6"/>
        <v>-270.14285714285734</v>
      </c>
      <c r="K14" s="29">
        <v>270.14285714285734</v>
      </c>
      <c r="L14" s="33">
        <f t="shared" si="7"/>
        <v>72977.163265306226</v>
      </c>
      <c r="M14" s="29">
        <f t="shared" si="8"/>
        <v>1795.2291985322233</v>
      </c>
      <c r="N14" s="28">
        <f t="shared" si="9"/>
        <v>90.770801467776664</v>
      </c>
      <c r="O14" s="29">
        <f t="shared" si="10"/>
        <v>90.770801467776664</v>
      </c>
      <c r="P14" s="68">
        <f t="shared" si="11"/>
        <v>8239.3383991025257</v>
      </c>
      <c r="T14" s="30"/>
      <c r="X14" s="27"/>
    </row>
    <row r="15" spans="1:29" ht="15.6" x14ac:dyDescent="0.3">
      <c r="A15" s="42">
        <v>45058</v>
      </c>
      <c r="B15" s="7">
        <v>1365</v>
      </c>
      <c r="C15" s="23" t="str">
        <f t="shared" si="0"/>
        <v>Fri</v>
      </c>
      <c r="D15" s="23">
        <f t="shared" si="1"/>
        <v>6</v>
      </c>
      <c r="E15" s="26">
        <f t="shared" si="13"/>
        <v>1555</v>
      </c>
      <c r="F15" s="31">
        <f t="shared" si="2"/>
        <v>-190</v>
      </c>
      <c r="G15" s="22">
        <f t="shared" si="3"/>
        <v>190</v>
      </c>
      <c r="H15" s="32">
        <f t="shared" si="4"/>
        <v>36100</v>
      </c>
      <c r="I15" s="29">
        <f t="shared" si="5"/>
        <v>1746.1428571428571</v>
      </c>
      <c r="J15" s="28">
        <f t="shared" si="6"/>
        <v>-381.14285714285711</v>
      </c>
      <c r="K15" s="29">
        <v>381.14285714285711</v>
      </c>
      <c r="L15" s="33">
        <f t="shared" si="7"/>
        <v>145269.87755102038</v>
      </c>
      <c r="M15" s="29">
        <f t="shared" si="8"/>
        <v>1380.2255103452555</v>
      </c>
      <c r="N15" s="28">
        <f t="shared" si="9"/>
        <v>-15.225510345255543</v>
      </c>
      <c r="O15" s="29">
        <f t="shared" si="10"/>
        <v>15.225510345255543</v>
      </c>
      <c r="P15" s="68">
        <f t="shared" si="11"/>
        <v>231.81616527348356</v>
      </c>
      <c r="T15" s="30"/>
      <c r="X15" s="27"/>
    </row>
    <row r="16" spans="1:29" ht="15.6" x14ac:dyDescent="0.3">
      <c r="A16" s="42">
        <v>45059</v>
      </c>
      <c r="B16" s="7">
        <v>998</v>
      </c>
      <c r="C16" s="23" t="str">
        <f t="shared" si="0"/>
        <v>Sat</v>
      </c>
      <c r="D16" s="23">
        <f t="shared" si="1"/>
        <v>7</v>
      </c>
      <c r="E16" s="26">
        <f t="shared" si="13"/>
        <v>1240</v>
      </c>
      <c r="F16" s="31">
        <f t="shared" si="2"/>
        <v>-242</v>
      </c>
      <c r="G16" s="22">
        <f t="shared" si="3"/>
        <v>242</v>
      </c>
      <c r="H16" s="32">
        <f t="shared" si="4"/>
        <v>58564</v>
      </c>
      <c r="I16" s="29">
        <f t="shared" si="5"/>
        <v>1250</v>
      </c>
      <c r="J16" s="28">
        <f t="shared" si="6"/>
        <v>-252</v>
      </c>
      <c r="K16" s="29">
        <v>252</v>
      </c>
      <c r="L16" s="33">
        <f t="shared" si="7"/>
        <v>63504</v>
      </c>
      <c r="M16" s="29">
        <f t="shared" si="8"/>
        <v>929.11627402754959</v>
      </c>
      <c r="N16" s="28">
        <f t="shared" si="9"/>
        <v>68.883725972450407</v>
      </c>
      <c r="O16" s="29">
        <f t="shared" si="10"/>
        <v>68.883725972450407</v>
      </c>
      <c r="P16" s="68">
        <f t="shared" si="11"/>
        <v>4744.9677038476384</v>
      </c>
      <c r="T16" s="30"/>
      <c r="X16" s="27"/>
    </row>
    <row r="17" spans="1:16" ht="15.6" x14ac:dyDescent="0.3">
      <c r="A17" s="42">
        <v>45060</v>
      </c>
      <c r="B17" s="7">
        <v>1052</v>
      </c>
      <c r="C17" s="23" t="str">
        <f t="shared" si="0"/>
        <v>Sun</v>
      </c>
      <c r="D17" s="23">
        <f t="shared" si="1"/>
        <v>1</v>
      </c>
      <c r="E17" s="26">
        <f t="shared" si="13"/>
        <v>864</v>
      </c>
      <c r="F17" s="31">
        <f t="shared" si="2"/>
        <v>188</v>
      </c>
      <c r="G17" s="22">
        <f t="shared" si="3"/>
        <v>188</v>
      </c>
      <c r="H17" s="32">
        <f t="shared" si="4"/>
        <v>35344</v>
      </c>
      <c r="I17" s="29">
        <f t="shared" si="5"/>
        <v>1194.2857142857142</v>
      </c>
      <c r="J17" s="28">
        <f t="shared" si="6"/>
        <v>-142.28571428571422</v>
      </c>
      <c r="K17" s="29">
        <v>142.28571428571422</v>
      </c>
      <c r="L17" s="33">
        <f t="shared" si="7"/>
        <v>20245.224489795899</v>
      </c>
      <c r="M17" s="29">
        <f t="shared" si="8"/>
        <v>873.91895915678754</v>
      </c>
      <c r="N17" s="28">
        <f t="shared" si="9"/>
        <v>178.08104084321246</v>
      </c>
      <c r="O17" s="29">
        <f t="shared" si="10"/>
        <v>178.08104084321246</v>
      </c>
      <c r="P17" s="68">
        <f t="shared" si="11"/>
        <v>31712.857107801905</v>
      </c>
    </row>
    <row r="18" spans="1:16" ht="15.6" x14ac:dyDescent="0.3">
      <c r="A18" s="42">
        <v>45061</v>
      </c>
      <c r="B18" s="7">
        <v>1905</v>
      </c>
      <c r="C18" s="23" t="str">
        <f t="shared" si="0"/>
        <v>Mon</v>
      </c>
      <c r="D18" s="23">
        <f t="shared" si="1"/>
        <v>2</v>
      </c>
      <c r="E18" s="26">
        <f t="shared" si="13"/>
        <v>1882</v>
      </c>
      <c r="F18" s="31">
        <f t="shared" si="2"/>
        <v>23</v>
      </c>
      <c r="G18" s="22">
        <f t="shared" si="3"/>
        <v>23</v>
      </c>
      <c r="H18" s="32">
        <f t="shared" si="4"/>
        <v>529</v>
      </c>
      <c r="I18" s="29">
        <f t="shared" si="5"/>
        <v>2154.2857142857142</v>
      </c>
      <c r="J18" s="28">
        <f t="shared" si="6"/>
        <v>-249.28571428571422</v>
      </c>
      <c r="K18" s="29">
        <v>249.28571428571422</v>
      </c>
      <c r="L18" s="33">
        <f t="shared" si="7"/>
        <v>62143.367346938743</v>
      </c>
      <c r="M18" s="29">
        <f t="shared" si="8"/>
        <v>1950.492888020696</v>
      </c>
      <c r="N18" s="28">
        <f t="shared" si="9"/>
        <v>-45.492888020696</v>
      </c>
      <c r="O18" s="29">
        <f t="shared" si="10"/>
        <v>45.492888020696</v>
      </c>
      <c r="P18" s="68">
        <f t="shared" si="11"/>
        <v>2069.6028604635858</v>
      </c>
    </row>
    <row r="19" spans="1:16" ht="15.6" x14ac:dyDescent="0.3">
      <c r="A19" s="42">
        <v>45062</v>
      </c>
      <c r="B19" s="7">
        <v>1767</v>
      </c>
      <c r="C19" s="23" t="str">
        <f t="shared" si="0"/>
        <v>Tue</v>
      </c>
      <c r="D19" s="23">
        <f t="shared" si="1"/>
        <v>3</v>
      </c>
      <c r="E19" s="26">
        <f t="shared" si="13"/>
        <v>2306</v>
      </c>
      <c r="F19" s="31">
        <f t="shared" si="2"/>
        <v>-539</v>
      </c>
      <c r="G19" s="22">
        <f t="shared" si="3"/>
        <v>539</v>
      </c>
      <c r="H19" s="32">
        <f t="shared" si="4"/>
        <v>290521</v>
      </c>
      <c r="I19" s="29">
        <f t="shared" si="5"/>
        <v>2160.2857142857142</v>
      </c>
      <c r="J19" s="28">
        <f t="shared" si="6"/>
        <v>-393.28571428571422</v>
      </c>
      <c r="K19" s="29">
        <v>393.28571428571422</v>
      </c>
      <c r="L19" s="33">
        <f t="shared" si="7"/>
        <v>154673.65306122444</v>
      </c>
      <c r="M19" s="29">
        <f t="shared" si="8"/>
        <v>1924.0021682688334</v>
      </c>
      <c r="N19" s="28">
        <f t="shared" si="9"/>
        <v>-157.00216826883343</v>
      </c>
      <c r="O19" s="29">
        <f t="shared" si="10"/>
        <v>157.00216826883343</v>
      </c>
      <c r="P19" s="68">
        <f t="shared" si="11"/>
        <v>24649.680841115085</v>
      </c>
    </row>
    <row r="20" spans="1:16" ht="15.6" x14ac:dyDescent="0.3">
      <c r="A20" s="42">
        <v>45063</v>
      </c>
      <c r="B20" s="7">
        <v>1911</v>
      </c>
      <c r="C20" s="23" t="str">
        <f t="shared" si="0"/>
        <v>Wed</v>
      </c>
      <c r="D20" s="23">
        <f t="shared" si="1"/>
        <v>4</v>
      </c>
      <c r="E20" s="26">
        <f t="shared" si="13"/>
        <v>1988</v>
      </c>
      <c r="F20" s="31">
        <f t="shared" si="2"/>
        <v>-77</v>
      </c>
      <c r="G20" s="22">
        <f t="shared" si="3"/>
        <v>77</v>
      </c>
      <c r="H20" s="32">
        <f t="shared" si="4"/>
        <v>5929</v>
      </c>
      <c r="I20" s="29">
        <f t="shared" si="5"/>
        <v>2247.7142857142858</v>
      </c>
      <c r="J20" s="28">
        <f t="shared" si="6"/>
        <v>-336.71428571428578</v>
      </c>
      <c r="K20" s="29">
        <v>336.71428571428578</v>
      </c>
      <c r="L20" s="33">
        <f t="shared" si="7"/>
        <v>113376.51020408167</v>
      </c>
      <c r="M20" s="29">
        <f t="shared" si="8"/>
        <v>2018.761837920043</v>
      </c>
      <c r="N20" s="28">
        <f t="shared" si="9"/>
        <v>-107.76183792004304</v>
      </c>
      <c r="O20" s="29">
        <f t="shared" si="10"/>
        <v>107.76183792004304</v>
      </c>
      <c r="P20" s="68">
        <f t="shared" si="11"/>
        <v>11612.613711905626</v>
      </c>
    </row>
    <row r="21" spans="1:16" ht="15.6" x14ac:dyDescent="0.3">
      <c r="A21" s="42">
        <v>45064</v>
      </c>
      <c r="B21" s="7">
        <v>2036</v>
      </c>
      <c r="C21" s="23" t="str">
        <f t="shared" si="0"/>
        <v>Thu</v>
      </c>
      <c r="D21" s="23">
        <f t="shared" si="1"/>
        <v>5</v>
      </c>
      <c r="E21" s="26">
        <f t="shared" si="13"/>
        <v>1886</v>
      </c>
      <c r="F21" s="31">
        <f t="shared" si="2"/>
        <v>150</v>
      </c>
      <c r="G21" s="22">
        <f t="shared" si="3"/>
        <v>150</v>
      </c>
      <c r="H21" s="32">
        <f t="shared" si="4"/>
        <v>22500</v>
      </c>
      <c r="I21" s="29">
        <f t="shared" si="5"/>
        <v>2156.1428571428573</v>
      </c>
      <c r="J21" s="28">
        <f t="shared" si="6"/>
        <v>-120.14285714285734</v>
      </c>
      <c r="K21" s="29">
        <v>120.14285714285734</v>
      </c>
      <c r="L21" s="33">
        <f t="shared" si="7"/>
        <v>14434.306122449027</v>
      </c>
      <c r="M21" s="29">
        <f t="shared" si="8"/>
        <v>1951.8900304156307</v>
      </c>
      <c r="N21" s="28">
        <f t="shared" si="9"/>
        <v>84.10996958436931</v>
      </c>
      <c r="O21" s="29">
        <f t="shared" si="10"/>
        <v>84.10996958436931</v>
      </c>
      <c r="P21" s="68">
        <f t="shared" si="11"/>
        <v>7074.4869834835308</v>
      </c>
    </row>
    <row r="22" spans="1:16" ht="15.6" x14ac:dyDescent="0.3">
      <c r="A22" s="42">
        <v>45065</v>
      </c>
      <c r="B22" s="7">
        <v>1428</v>
      </c>
      <c r="C22" s="23" t="str">
        <f t="shared" si="0"/>
        <v>Fri</v>
      </c>
      <c r="D22" s="23">
        <f t="shared" si="1"/>
        <v>6</v>
      </c>
      <c r="E22" s="26">
        <f t="shared" si="13"/>
        <v>1365</v>
      </c>
      <c r="F22" s="31">
        <f t="shared" si="2"/>
        <v>63</v>
      </c>
      <c r="G22" s="22">
        <f t="shared" si="3"/>
        <v>63</v>
      </c>
      <c r="H22" s="32">
        <f t="shared" si="4"/>
        <v>3969</v>
      </c>
      <c r="I22" s="29">
        <f t="shared" si="5"/>
        <v>1746.1428571428571</v>
      </c>
      <c r="J22" s="28">
        <f t="shared" si="6"/>
        <v>-318.14285714285711</v>
      </c>
      <c r="K22" s="29">
        <v>318.14285714285711</v>
      </c>
      <c r="L22" s="33">
        <f t="shared" si="7"/>
        <v>101214.87755102038</v>
      </c>
      <c r="M22" s="29">
        <f t="shared" si="8"/>
        <v>1536.8863422286627</v>
      </c>
      <c r="N22" s="28">
        <f t="shared" si="9"/>
        <v>-108.88634222866267</v>
      </c>
      <c r="O22" s="29">
        <f t="shared" si="10"/>
        <v>108.88634222866267</v>
      </c>
      <c r="P22" s="68">
        <f t="shared" si="11"/>
        <v>11856.235523937448</v>
      </c>
    </row>
    <row r="23" spans="1:16" ht="15.6" x14ac:dyDescent="0.3">
      <c r="A23" s="42">
        <v>45066</v>
      </c>
      <c r="B23" s="7">
        <v>1008</v>
      </c>
      <c r="C23" s="23" t="str">
        <f t="shared" si="0"/>
        <v>Sat</v>
      </c>
      <c r="D23" s="23">
        <f t="shared" si="1"/>
        <v>7</v>
      </c>
      <c r="E23" s="26">
        <f t="shared" si="13"/>
        <v>998</v>
      </c>
      <c r="F23" s="31">
        <f t="shared" si="2"/>
        <v>10</v>
      </c>
      <c r="G23" s="22">
        <f t="shared" si="3"/>
        <v>10</v>
      </c>
      <c r="H23" s="32">
        <f t="shared" si="4"/>
        <v>100</v>
      </c>
      <c r="I23" s="29">
        <f t="shared" si="5"/>
        <v>1250</v>
      </c>
      <c r="J23" s="28">
        <f t="shared" si="6"/>
        <v>-242</v>
      </c>
      <c r="K23" s="29">
        <v>242</v>
      </c>
      <c r="L23" s="33">
        <f t="shared" si="7"/>
        <v>58564</v>
      </c>
      <c r="M23" s="29">
        <f t="shared" si="8"/>
        <v>1085.7771059109568</v>
      </c>
      <c r="N23" s="28">
        <f t="shared" si="9"/>
        <v>-77.777105910956834</v>
      </c>
      <c r="O23" s="29">
        <f t="shared" si="10"/>
        <v>77.777105910956834</v>
      </c>
      <c r="P23" s="68">
        <f t="shared" si="11"/>
        <v>6049.278203884197</v>
      </c>
    </row>
    <row r="24" spans="1:16" ht="15.6" x14ac:dyDescent="0.3">
      <c r="A24" s="42">
        <v>45067</v>
      </c>
      <c r="B24" s="7">
        <v>1082</v>
      </c>
      <c r="C24" s="23" t="str">
        <f t="shared" si="0"/>
        <v>Sun</v>
      </c>
      <c r="D24" s="23">
        <f t="shared" si="1"/>
        <v>1</v>
      </c>
      <c r="E24" s="26">
        <f t="shared" si="13"/>
        <v>1052</v>
      </c>
      <c r="F24" s="31">
        <f t="shared" si="2"/>
        <v>30</v>
      </c>
      <c r="G24" s="22">
        <f t="shared" si="3"/>
        <v>30</v>
      </c>
      <c r="H24" s="32">
        <f t="shared" si="4"/>
        <v>900</v>
      </c>
      <c r="I24" s="29">
        <f t="shared" si="5"/>
        <v>1194.2857142857142</v>
      </c>
      <c r="J24" s="28">
        <f t="shared" si="6"/>
        <v>-112.28571428571422</v>
      </c>
      <c r="K24" s="29">
        <v>112.28571428571422</v>
      </c>
      <c r="L24" s="33">
        <f t="shared" si="7"/>
        <v>12608.081632653046</v>
      </c>
      <c r="M24" s="29">
        <f t="shared" si="8"/>
        <v>1030.5797910401948</v>
      </c>
      <c r="N24" s="28">
        <f t="shared" si="9"/>
        <v>51.420208959805223</v>
      </c>
      <c r="O24" s="29">
        <f t="shared" si="10"/>
        <v>51.420208959805223</v>
      </c>
      <c r="P24" s="68">
        <f t="shared" si="11"/>
        <v>2644.0378894700334</v>
      </c>
    </row>
    <row r="25" spans="1:16" ht="15.6" x14ac:dyDescent="0.3">
      <c r="A25" s="42">
        <v>45068</v>
      </c>
      <c r="B25" s="7">
        <v>1921</v>
      </c>
      <c r="C25" s="23" t="str">
        <f t="shared" si="0"/>
        <v>Mon</v>
      </c>
      <c r="D25" s="23">
        <f t="shared" si="1"/>
        <v>2</v>
      </c>
      <c r="E25" s="26">
        <f t="shared" si="13"/>
        <v>1905</v>
      </c>
      <c r="F25" s="31">
        <f t="shared" si="2"/>
        <v>16</v>
      </c>
      <c r="G25" s="22">
        <f t="shared" si="3"/>
        <v>16</v>
      </c>
      <c r="H25" s="32">
        <f t="shared" si="4"/>
        <v>256</v>
      </c>
      <c r="I25" s="29">
        <f t="shared" si="5"/>
        <v>2154.2857142857142</v>
      </c>
      <c r="J25" s="28">
        <f t="shared" si="6"/>
        <v>-233.28571428571422</v>
      </c>
      <c r="K25" s="29">
        <v>233.28571428571422</v>
      </c>
      <c r="L25" s="33">
        <f t="shared" si="7"/>
        <v>54422.224489795888</v>
      </c>
      <c r="M25" s="29">
        <f t="shared" si="8"/>
        <v>2107.1537199041031</v>
      </c>
      <c r="N25" s="28">
        <f t="shared" si="9"/>
        <v>-186.15371990410313</v>
      </c>
      <c r="O25" s="29">
        <f t="shared" si="10"/>
        <v>186.15371990410313</v>
      </c>
      <c r="P25" s="68">
        <f t="shared" si="11"/>
        <v>34653.207434135278</v>
      </c>
    </row>
    <row r="26" spans="1:16" ht="15.6" x14ac:dyDescent="0.3">
      <c r="A26" s="42">
        <v>45069</v>
      </c>
      <c r="B26" s="7">
        <v>1780</v>
      </c>
      <c r="C26" s="23" t="str">
        <f t="shared" si="0"/>
        <v>Tue</v>
      </c>
      <c r="D26" s="23">
        <f t="shared" si="1"/>
        <v>3</v>
      </c>
      <c r="E26" s="26">
        <f t="shared" si="13"/>
        <v>1767</v>
      </c>
      <c r="F26" s="31">
        <f t="shared" si="2"/>
        <v>13</v>
      </c>
      <c r="G26" s="22">
        <f t="shared" si="3"/>
        <v>13</v>
      </c>
      <c r="H26" s="32">
        <f t="shared" si="4"/>
        <v>169</v>
      </c>
      <c r="I26" s="29">
        <f t="shared" si="5"/>
        <v>2160.2857142857142</v>
      </c>
      <c r="J26" s="28">
        <f t="shared" si="6"/>
        <v>-380.28571428571422</v>
      </c>
      <c r="K26" s="29">
        <v>380.28571428571422</v>
      </c>
      <c r="L26" s="33">
        <f t="shared" si="7"/>
        <v>144617.22448979586</v>
      </c>
      <c r="M26" s="29">
        <f t="shared" si="8"/>
        <v>2080.6630001522408</v>
      </c>
      <c r="N26" s="28">
        <f t="shared" si="9"/>
        <v>-300.66300015224078</v>
      </c>
      <c r="O26" s="29">
        <f t="shared" si="10"/>
        <v>300.66300015224078</v>
      </c>
      <c r="P26" s="68">
        <f t="shared" si="11"/>
        <v>90398.239660546344</v>
      </c>
    </row>
    <row r="27" spans="1:16" ht="15.6" x14ac:dyDescent="0.3">
      <c r="A27" s="42">
        <v>45070</v>
      </c>
      <c r="B27" s="7">
        <v>2071</v>
      </c>
      <c r="C27" s="23" t="str">
        <f t="shared" si="0"/>
        <v>Wed</v>
      </c>
      <c r="D27" s="23">
        <f t="shared" si="1"/>
        <v>4</v>
      </c>
      <c r="E27" s="26">
        <f t="shared" si="13"/>
        <v>1911</v>
      </c>
      <c r="F27" s="31">
        <f t="shared" si="2"/>
        <v>160</v>
      </c>
      <c r="G27" s="22">
        <f t="shared" si="3"/>
        <v>160</v>
      </c>
      <c r="H27" s="32">
        <f t="shared" si="4"/>
        <v>25600</v>
      </c>
      <c r="I27" s="29">
        <f t="shared" si="5"/>
        <v>2247.7142857142858</v>
      </c>
      <c r="J27" s="28">
        <f t="shared" si="6"/>
        <v>-176.71428571428578</v>
      </c>
      <c r="K27" s="29">
        <v>176.71428571428578</v>
      </c>
      <c r="L27" s="33">
        <f t="shared" si="7"/>
        <v>31227.938775510225</v>
      </c>
      <c r="M27" s="29">
        <f t="shared" si="8"/>
        <v>2175.4226698034504</v>
      </c>
      <c r="N27" s="28">
        <f t="shared" si="9"/>
        <v>-104.42266980345039</v>
      </c>
      <c r="O27" s="29">
        <f t="shared" si="10"/>
        <v>104.42266980345039</v>
      </c>
      <c r="P27" s="68">
        <f t="shared" si="11"/>
        <v>10904.09396888043</v>
      </c>
    </row>
    <row r="28" spans="1:16" ht="15.6" x14ac:dyDescent="0.3">
      <c r="A28" s="42">
        <v>45071</v>
      </c>
      <c r="B28" s="7">
        <v>1813</v>
      </c>
      <c r="C28" s="23" t="str">
        <f t="shared" si="0"/>
        <v>Thu</v>
      </c>
      <c r="D28" s="23">
        <f t="shared" si="1"/>
        <v>5</v>
      </c>
      <c r="E28" s="26">
        <f t="shared" si="13"/>
        <v>2036</v>
      </c>
      <c r="F28" s="31">
        <f t="shared" si="2"/>
        <v>-223</v>
      </c>
      <c r="G28" s="22">
        <f t="shared" si="3"/>
        <v>223</v>
      </c>
      <c r="H28" s="32">
        <f t="shared" si="4"/>
        <v>49729</v>
      </c>
      <c r="I28" s="29">
        <f t="shared" si="5"/>
        <v>2156.1428571428573</v>
      </c>
      <c r="J28" s="28">
        <f t="shared" si="6"/>
        <v>-343.14285714285734</v>
      </c>
      <c r="K28" s="29">
        <v>343.14285714285734</v>
      </c>
      <c r="L28" s="33">
        <f t="shared" si="7"/>
        <v>117747.0204081634</v>
      </c>
      <c r="M28" s="29">
        <f t="shared" si="8"/>
        <v>2108.5508622990378</v>
      </c>
      <c r="N28" s="28">
        <f t="shared" si="9"/>
        <v>-295.55086229903782</v>
      </c>
      <c r="O28" s="29">
        <f t="shared" si="10"/>
        <v>295.55086229903782</v>
      </c>
      <c r="P28" s="68">
        <f t="shared" si="11"/>
        <v>87350.312205704817</v>
      </c>
    </row>
    <row r="29" spans="1:16" ht="15.6" x14ac:dyDescent="0.3">
      <c r="A29" s="42">
        <v>45072</v>
      </c>
      <c r="B29" s="7">
        <v>1780</v>
      </c>
      <c r="C29" s="23" t="str">
        <f t="shared" si="0"/>
        <v>Fri</v>
      </c>
      <c r="D29" s="23">
        <f t="shared" si="1"/>
        <v>6</v>
      </c>
      <c r="E29" s="26">
        <f t="shared" si="13"/>
        <v>1428</v>
      </c>
      <c r="F29" s="31">
        <f t="shared" si="2"/>
        <v>352</v>
      </c>
      <c r="G29" s="22">
        <f t="shared" si="3"/>
        <v>352</v>
      </c>
      <c r="H29" s="32">
        <f t="shared" si="4"/>
        <v>123904</v>
      </c>
      <c r="I29" s="29">
        <f t="shared" si="5"/>
        <v>1746.1428571428571</v>
      </c>
      <c r="J29" s="28">
        <f t="shared" si="6"/>
        <v>33.85714285714289</v>
      </c>
      <c r="K29" s="29">
        <v>33.85714285714289</v>
      </c>
      <c r="L29" s="33">
        <f t="shared" si="7"/>
        <v>1146.3061224489818</v>
      </c>
      <c r="M29" s="29">
        <f t="shared" si="8"/>
        <v>1693.5471741120698</v>
      </c>
      <c r="N29" s="28">
        <f t="shared" si="9"/>
        <v>86.452825887930203</v>
      </c>
      <c r="O29" s="29">
        <f t="shared" si="10"/>
        <v>86.452825887930203</v>
      </c>
      <c r="P29" s="68">
        <f t="shared" si="11"/>
        <v>7474.0911040087749</v>
      </c>
    </row>
    <row r="30" spans="1:16" ht="15.6" x14ac:dyDescent="0.3">
      <c r="A30" s="42">
        <v>45073</v>
      </c>
      <c r="B30" s="7">
        <v>1236</v>
      </c>
      <c r="C30" s="23" t="str">
        <f t="shared" si="0"/>
        <v>Sat</v>
      </c>
      <c r="D30" s="23">
        <f t="shared" si="1"/>
        <v>7</v>
      </c>
      <c r="E30" s="26">
        <f t="shared" si="13"/>
        <v>1008</v>
      </c>
      <c r="F30" s="31">
        <f t="shared" si="2"/>
        <v>228</v>
      </c>
      <c r="G30" s="22">
        <f t="shared" si="3"/>
        <v>228</v>
      </c>
      <c r="H30" s="32">
        <f t="shared" si="4"/>
        <v>51984</v>
      </c>
      <c r="I30" s="29">
        <f t="shared" si="5"/>
        <v>1250</v>
      </c>
      <c r="J30" s="28">
        <f t="shared" si="6"/>
        <v>-14</v>
      </c>
      <c r="K30" s="29">
        <v>14</v>
      </c>
      <c r="L30" s="33">
        <f t="shared" si="7"/>
        <v>196</v>
      </c>
      <c r="M30" s="29">
        <f t="shared" si="8"/>
        <v>1242.4379377943637</v>
      </c>
      <c r="N30" s="28">
        <f t="shared" si="9"/>
        <v>-6.4379377943637337</v>
      </c>
      <c r="O30" s="29">
        <f t="shared" si="10"/>
        <v>6.4379377943637337</v>
      </c>
      <c r="P30" s="68">
        <f t="shared" si="11"/>
        <v>41.447043044096979</v>
      </c>
    </row>
    <row r="31" spans="1:16" ht="15.6" x14ac:dyDescent="0.3">
      <c r="A31" s="42">
        <v>45074</v>
      </c>
      <c r="B31" s="7">
        <v>1082</v>
      </c>
      <c r="C31" s="23" t="str">
        <f t="shared" si="0"/>
        <v>Sun</v>
      </c>
      <c r="D31" s="23">
        <f t="shared" si="1"/>
        <v>1</v>
      </c>
      <c r="E31" s="26">
        <f t="shared" si="13"/>
        <v>1082</v>
      </c>
      <c r="F31" s="31">
        <f t="shared" si="2"/>
        <v>0</v>
      </c>
      <c r="G31" s="22">
        <f t="shared" si="3"/>
        <v>0</v>
      </c>
      <c r="H31" s="32">
        <f t="shared" si="4"/>
        <v>0</v>
      </c>
      <c r="I31" s="29">
        <f t="shared" si="5"/>
        <v>1194.2857142857142</v>
      </c>
      <c r="J31" s="28">
        <f t="shared" si="6"/>
        <v>-112.28571428571422</v>
      </c>
      <c r="K31" s="29">
        <v>112.28571428571422</v>
      </c>
      <c r="L31" s="33">
        <f t="shared" si="7"/>
        <v>12608.081632653046</v>
      </c>
      <c r="M31" s="29">
        <f t="shared" si="8"/>
        <v>1187.2406229236021</v>
      </c>
      <c r="N31" s="28">
        <f t="shared" si="9"/>
        <v>-105.24062292360213</v>
      </c>
      <c r="O31" s="29">
        <f t="shared" si="10"/>
        <v>105.24062292360213</v>
      </c>
      <c r="P31" s="68">
        <f t="shared" si="11"/>
        <v>11075.58871334781</v>
      </c>
    </row>
    <row r="32" spans="1:16" ht="15.6" x14ac:dyDescent="0.3">
      <c r="A32" s="42">
        <v>45075</v>
      </c>
      <c r="B32" s="7">
        <v>1777</v>
      </c>
      <c r="C32" s="23" t="str">
        <f t="shared" si="0"/>
        <v>Mon</v>
      </c>
      <c r="D32" s="23">
        <f t="shared" si="1"/>
        <v>2</v>
      </c>
      <c r="E32" s="26">
        <f t="shared" si="13"/>
        <v>1921</v>
      </c>
      <c r="F32" s="31">
        <f t="shared" si="2"/>
        <v>-144</v>
      </c>
      <c r="G32" s="22">
        <f t="shared" si="3"/>
        <v>144</v>
      </c>
      <c r="H32" s="32">
        <f t="shared" si="4"/>
        <v>20736</v>
      </c>
      <c r="I32" s="29">
        <f t="shared" si="5"/>
        <v>2154.2857142857142</v>
      </c>
      <c r="J32" s="28">
        <f t="shared" si="6"/>
        <v>-377.28571428571422</v>
      </c>
      <c r="K32" s="29">
        <v>377.28571428571422</v>
      </c>
      <c r="L32" s="33">
        <f t="shared" si="7"/>
        <v>142344.51020408157</v>
      </c>
      <c r="M32" s="29">
        <f t="shared" si="8"/>
        <v>2263.8145517875105</v>
      </c>
      <c r="N32" s="28">
        <f t="shared" si="9"/>
        <v>-486.81455178751048</v>
      </c>
      <c r="O32" s="29">
        <f t="shared" si="10"/>
        <v>486.81455178751048</v>
      </c>
      <c r="P32" s="68">
        <f t="shared" si="11"/>
        <v>236988.40783207474</v>
      </c>
    </row>
    <row r="33" spans="1:16" ht="15.6" x14ac:dyDescent="0.3">
      <c r="A33" s="42">
        <v>45076</v>
      </c>
      <c r="B33" s="7">
        <v>1766</v>
      </c>
      <c r="C33" s="23" t="str">
        <f t="shared" si="0"/>
        <v>Tue</v>
      </c>
      <c r="D33" s="23">
        <f t="shared" si="1"/>
        <v>3</v>
      </c>
      <c r="E33" s="26">
        <f t="shared" si="13"/>
        <v>1780</v>
      </c>
      <c r="F33" s="31">
        <f t="shared" si="2"/>
        <v>-14</v>
      </c>
      <c r="G33" s="22">
        <f t="shared" si="3"/>
        <v>14</v>
      </c>
      <c r="H33" s="32">
        <f t="shared" si="4"/>
        <v>196</v>
      </c>
      <c r="I33" s="29">
        <f t="shared" si="5"/>
        <v>2160.2857142857142</v>
      </c>
      <c r="J33" s="28">
        <f t="shared" si="6"/>
        <v>-394.28571428571422</v>
      </c>
      <c r="K33" s="29">
        <v>394.28571428571422</v>
      </c>
      <c r="L33" s="33">
        <f t="shared" si="7"/>
        <v>155461.22448979586</v>
      </c>
      <c r="M33" s="29">
        <f t="shared" si="8"/>
        <v>2237.3238320356477</v>
      </c>
      <c r="N33" s="28">
        <f t="shared" si="9"/>
        <v>-471.32383203564768</v>
      </c>
      <c r="O33" s="29">
        <f t="shared" si="10"/>
        <v>471.32383203564768</v>
      </c>
      <c r="P33" s="68">
        <f t="shared" si="11"/>
        <v>222146.15464476743</v>
      </c>
    </row>
    <row r="34" spans="1:16" ht="15.6" x14ac:dyDescent="0.3">
      <c r="A34" s="42">
        <v>45077</v>
      </c>
      <c r="B34" s="7">
        <v>1884</v>
      </c>
      <c r="C34" s="23" t="str">
        <f t="shared" si="0"/>
        <v>Wed</v>
      </c>
      <c r="D34" s="23">
        <f t="shared" si="1"/>
        <v>4</v>
      </c>
      <c r="E34" s="26">
        <f t="shared" si="13"/>
        <v>2071</v>
      </c>
      <c r="F34" s="31">
        <f t="shared" si="2"/>
        <v>-187</v>
      </c>
      <c r="G34" s="22">
        <f t="shared" si="3"/>
        <v>187</v>
      </c>
      <c r="H34" s="32">
        <f t="shared" si="4"/>
        <v>34969</v>
      </c>
      <c r="I34" s="29">
        <f t="shared" si="5"/>
        <v>2247.7142857142858</v>
      </c>
      <c r="J34" s="28">
        <f t="shared" si="6"/>
        <v>-363.71428571428578</v>
      </c>
      <c r="K34" s="29">
        <v>363.71428571428578</v>
      </c>
      <c r="L34" s="33">
        <f t="shared" si="7"/>
        <v>132288.08163265311</v>
      </c>
      <c r="M34" s="29">
        <f t="shared" si="8"/>
        <v>2332.0835016868573</v>
      </c>
      <c r="N34" s="28">
        <f t="shared" si="9"/>
        <v>-448.08350168685729</v>
      </c>
      <c r="O34" s="29">
        <f t="shared" si="10"/>
        <v>448.08350168685729</v>
      </c>
      <c r="P34" s="68">
        <f t="shared" si="11"/>
        <v>200778.82448395583</v>
      </c>
    </row>
    <row r="35" spans="1:16" ht="15.6" x14ac:dyDescent="0.3">
      <c r="A35" s="42">
        <v>45078</v>
      </c>
      <c r="B35" s="7">
        <v>1780</v>
      </c>
      <c r="C35" s="23" t="str">
        <f t="shared" si="0"/>
        <v>Thu</v>
      </c>
      <c r="D35" s="23">
        <f t="shared" si="1"/>
        <v>5</v>
      </c>
      <c r="E35" s="26">
        <f t="shared" si="13"/>
        <v>1813</v>
      </c>
      <c r="F35" s="31">
        <f t="shared" si="2"/>
        <v>-33</v>
      </c>
      <c r="G35" s="22">
        <f t="shared" si="3"/>
        <v>33</v>
      </c>
      <c r="H35" s="32">
        <f t="shared" si="4"/>
        <v>1089</v>
      </c>
      <c r="I35" s="29">
        <f t="shared" si="5"/>
        <v>2156.1428571428573</v>
      </c>
      <c r="J35" s="28">
        <f t="shared" si="6"/>
        <v>-376.14285714285734</v>
      </c>
      <c r="K35" s="29">
        <v>376.14285714285734</v>
      </c>
      <c r="L35" s="33">
        <f t="shared" si="7"/>
        <v>141483.44897959198</v>
      </c>
      <c r="M35" s="29">
        <f t="shared" si="8"/>
        <v>2265.2116941824452</v>
      </c>
      <c r="N35" s="28">
        <f t="shared" si="9"/>
        <v>-485.21169418244517</v>
      </c>
      <c r="O35" s="29">
        <f t="shared" si="10"/>
        <v>485.21169418244517</v>
      </c>
      <c r="P35" s="68">
        <f t="shared" si="11"/>
        <v>235430.38817139869</v>
      </c>
    </row>
    <row r="36" spans="1:16" ht="15.6" x14ac:dyDescent="0.3">
      <c r="A36" s="42">
        <v>45079</v>
      </c>
      <c r="B36" s="7">
        <v>1572</v>
      </c>
      <c r="C36" s="23" t="str">
        <f t="shared" si="0"/>
        <v>Fri</v>
      </c>
      <c r="D36" s="23">
        <f t="shared" si="1"/>
        <v>6</v>
      </c>
      <c r="E36" s="26">
        <f t="shared" si="13"/>
        <v>1780</v>
      </c>
      <c r="F36" s="31">
        <f t="shared" si="2"/>
        <v>-208</v>
      </c>
      <c r="G36" s="22">
        <f t="shared" si="3"/>
        <v>208</v>
      </c>
      <c r="H36" s="32">
        <f t="shared" si="4"/>
        <v>43264</v>
      </c>
      <c r="I36" s="29">
        <f t="shared" si="5"/>
        <v>1746.1428571428571</v>
      </c>
      <c r="J36" s="28">
        <f t="shared" si="6"/>
        <v>-174.14285714285711</v>
      </c>
      <c r="K36" s="29">
        <v>174.14285714285711</v>
      </c>
      <c r="L36" s="33">
        <f t="shared" si="7"/>
        <v>30325.734693877541</v>
      </c>
      <c r="M36" s="29">
        <f t="shared" si="8"/>
        <v>1850.2080059954772</v>
      </c>
      <c r="N36" s="28">
        <f t="shared" si="9"/>
        <v>-278.20800599547715</v>
      </c>
      <c r="O36" s="29">
        <f t="shared" si="10"/>
        <v>278.20800599547715</v>
      </c>
      <c r="P36" s="68">
        <f t="shared" si="11"/>
        <v>77399.694599979455</v>
      </c>
    </row>
    <row r="37" spans="1:16" ht="15.6" x14ac:dyDescent="0.3">
      <c r="A37" s="42">
        <v>45080</v>
      </c>
      <c r="B37" s="7">
        <v>948</v>
      </c>
      <c r="C37" s="23" t="str">
        <f t="shared" si="0"/>
        <v>Sat</v>
      </c>
      <c r="D37" s="23">
        <f t="shared" si="1"/>
        <v>7</v>
      </c>
      <c r="E37" s="26">
        <f t="shared" si="13"/>
        <v>1236</v>
      </c>
      <c r="F37" s="31">
        <f t="shared" si="2"/>
        <v>-288</v>
      </c>
      <c r="G37" s="22">
        <f t="shared" si="3"/>
        <v>288</v>
      </c>
      <c r="H37" s="32">
        <f t="shared" si="4"/>
        <v>82944</v>
      </c>
      <c r="I37" s="29">
        <f t="shared" si="5"/>
        <v>1250</v>
      </c>
      <c r="J37" s="28">
        <f t="shared" si="6"/>
        <v>-302</v>
      </c>
      <c r="K37" s="29">
        <v>302</v>
      </c>
      <c r="L37" s="33">
        <f t="shared" si="7"/>
        <v>91204</v>
      </c>
      <c r="M37" s="29">
        <f t="shared" si="8"/>
        <v>1399.0987696777711</v>
      </c>
      <c r="N37" s="28">
        <f t="shared" si="9"/>
        <v>-451.09876967777109</v>
      </c>
      <c r="O37" s="29">
        <f t="shared" si="10"/>
        <v>451.09876967777109</v>
      </c>
      <c r="P37" s="68">
        <f t="shared" si="11"/>
        <v>203490.10000479876</v>
      </c>
    </row>
    <row r="38" spans="1:16" ht="15.6" x14ac:dyDescent="0.3">
      <c r="A38" s="42">
        <v>45081</v>
      </c>
      <c r="B38" s="7">
        <v>1085</v>
      </c>
      <c r="C38" s="23" t="str">
        <f t="shared" si="0"/>
        <v>Sun</v>
      </c>
      <c r="D38" s="23">
        <f t="shared" si="1"/>
        <v>1</v>
      </c>
      <c r="E38" s="26">
        <f t="shared" si="13"/>
        <v>1082</v>
      </c>
      <c r="F38" s="31">
        <f t="shared" si="2"/>
        <v>3</v>
      </c>
      <c r="G38" s="22">
        <f t="shared" si="3"/>
        <v>3</v>
      </c>
      <c r="H38" s="32">
        <f t="shared" si="4"/>
        <v>9</v>
      </c>
      <c r="I38" s="29">
        <f t="shared" si="5"/>
        <v>1194.2857142857142</v>
      </c>
      <c r="J38" s="28">
        <f t="shared" si="6"/>
        <v>-109.28571428571422</v>
      </c>
      <c r="K38" s="29">
        <v>109.28571428571422</v>
      </c>
      <c r="L38" s="33">
        <f t="shared" si="7"/>
        <v>11943.367346938761</v>
      </c>
      <c r="M38" s="29">
        <f t="shared" si="8"/>
        <v>1343.901454807009</v>
      </c>
      <c r="N38" s="28">
        <f t="shared" si="9"/>
        <v>-258.90145480700903</v>
      </c>
      <c r="O38" s="29">
        <f t="shared" si="10"/>
        <v>258.90145480700903</v>
      </c>
      <c r="P38" s="68">
        <f t="shared" si="11"/>
        <v>67029.963301185737</v>
      </c>
    </row>
    <row r="39" spans="1:16" ht="15.6" x14ac:dyDescent="0.3">
      <c r="A39" s="42">
        <v>45082</v>
      </c>
      <c r="B39" s="7">
        <v>2917</v>
      </c>
      <c r="C39" s="23" t="str">
        <f t="shared" si="0"/>
        <v>Mon</v>
      </c>
      <c r="D39" s="23">
        <f t="shared" si="1"/>
        <v>2</v>
      </c>
      <c r="E39" s="26">
        <f t="shared" si="13"/>
        <v>1777</v>
      </c>
      <c r="F39" s="31">
        <f t="shared" si="2"/>
        <v>1140</v>
      </c>
      <c r="G39" s="22">
        <f t="shared" si="3"/>
        <v>1140</v>
      </c>
      <c r="H39" s="32">
        <f t="shared" si="4"/>
        <v>1299600</v>
      </c>
      <c r="I39" s="29">
        <f t="shared" si="5"/>
        <v>2154.2857142857142</v>
      </c>
      <c r="J39" s="28">
        <f t="shared" si="6"/>
        <v>762.71428571428578</v>
      </c>
      <c r="K39" s="29">
        <v>762.71428571428578</v>
      </c>
      <c r="L39" s="33">
        <f t="shared" si="7"/>
        <v>581733.08163265313</v>
      </c>
      <c r="M39" s="29">
        <f t="shared" si="8"/>
        <v>2420.4753836709178</v>
      </c>
      <c r="N39" s="28">
        <f t="shared" si="9"/>
        <v>496.52461632908216</v>
      </c>
      <c r="O39" s="29">
        <f t="shared" si="10"/>
        <v>496.52461632908216</v>
      </c>
      <c r="P39" s="68">
        <f t="shared" si="11"/>
        <v>246536.69462074226</v>
      </c>
    </row>
    <row r="40" spans="1:16" ht="15.6" x14ac:dyDescent="0.3">
      <c r="A40" s="42">
        <v>45083</v>
      </c>
      <c r="B40" s="7">
        <v>2801</v>
      </c>
      <c r="C40" s="23" t="str">
        <f t="shared" si="0"/>
        <v>Tue</v>
      </c>
      <c r="D40" s="23">
        <f t="shared" si="1"/>
        <v>3</v>
      </c>
      <c r="E40" s="26">
        <f t="shared" si="13"/>
        <v>1766</v>
      </c>
      <c r="F40" s="31">
        <f t="shared" si="2"/>
        <v>1035</v>
      </c>
      <c r="G40" s="22">
        <f t="shared" si="3"/>
        <v>1035</v>
      </c>
      <c r="H40" s="32">
        <f t="shared" si="4"/>
        <v>1071225</v>
      </c>
      <c r="I40" s="29">
        <f t="shared" si="5"/>
        <v>2160.2857142857142</v>
      </c>
      <c r="J40" s="28">
        <f t="shared" si="6"/>
        <v>640.71428571428578</v>
      </c>
      <c r="K40" s="29">
        <v>640.71428571428578</v>
      </c>
      <c r="L40" s="33">
        <f t="shared" si="7"/>
        <v>410514.79591836745</v>
      </c>
      <c r="M40" s="29">
        <f t="shared" si="8"/>
        <v>2393.984663919055</v>
      </c>
      <c r="N40" s="28">
        <f t="shared" si="9"/>
        <v>407.01533608094496</v>
      </c>
      <c r="O40" s="29">
        <f t="shared" si="10"/>
        <v>407.01533608094496</v>
      </c>
      <c r="P40" s="68">
        <f t="shared" si="11"/>
        <v>165661.48380508457</v>
      </c>
    </row>
    <row r="41" spans="1:16" ht="15.6" x14ac:dyDescent="0.3">
      <c r="A41" s="42">
        <v>45084</v>
      </c>
      <c r="B41" s="7">
        <v>3075</v>
      </c>
      <c r="C41" s="23" t="str">
        <f t="shared" si="0"/>
        <v>Wed</v>
      </c>
      <c r="D41" s="23">
        <f t="shared" si="1"/>
        <v>4</v>
      </c>
      <c r="E41" s="26">
        <f t="shared" si="13"/>
        <v>1884</v>
      </c>
      <c r="F41" s="31">
        <f t="shared" si="2"/>
        <v>1191</v>
      </c>
      <c r="G41" s="22">
        <f t="shared" si="3"/>
        <v>1191</v>
      </c>
      <c r="H41" s="32">
        <f t="shared" si="4"/>
        <v>1418481</v>
      </c>
      <c r="I41" s="29">
        <f t="shared" si="5"/>
        <v>2247.7142857142858</v>
      </c>
      <c r="J41" s="28">
        <f t="shared" si="6"/>
        <v>827.28571428571422</v>
      </c>
      <c r="K41" s="29">
        <v>827.28571428571422</v>
      </c>
      <c r="L41" s="33">
        <f t="shared" si="7"/>
        <v>684401.65306122438</v>
      </c>
      <c r="M41" s="29">
        <f t="shared" si="8"/>
        <v>2488.7443335702646</v>
      </c>
      <c r="N41" s="28">
        <f t="shared" si="9"/>
        <v>586.25566642973536</v>
      </c>
      <c r="O41" s="29">
        <f t="shared" si="10"/>
        <v>586.25566642973536</v>
      </c>
      <c r="P41" s="68">
        <f t="shared" si="11"/>
        <v>343695.70642097312</v>
      </c>
    </row>
    <row r="42" spans="1:16" ht="15.6" x14ac:dyDescent="0.3">
      <c r="A42" s="42">
        <v>45085</v>
      </c>
      <c r="B42" s="7">
        <v>2737</v>
      </c>
      <c r="C42" s="23" t="str">
        <f t="shared" si="0"/>
        <v>Thu</v>
      </c>
      <c r="D42" s="23">
        <f t="shared" si="1"/>
        <v>5</v>
      </c>
      <c r="E42" s="26">
        <f t="shared" si="13"/>
        <v>1780</v>
      </c>
      <c r="F42" s="31">
        <f t="shared" si="2"/>
        <v>957</v>
      </c>
      <c r="G42" s="22">
        <f t="shared" si="3"/>
        <v>957</v>
      </c>
      <c r="H42" s="32">
        <f t="shared" si="4"/>
        <v>915849</v>
      </c>
      <c r="I42" s="29">
        <f t="shared" si="5"/>
        <v>2156.1428571428573</v>
      </c>
      <c r="J42" s="28">
        <f t="shared" si="6"/>
        <v>580.85714285714266</v>
      </c>
      <c r="K42" s="29">
        <v>580.85714285714266</v>
      </c>
      <c r="L42" s="33">
        <f t="shared" si="7"/>
        <v>337395.02040816302</v>
      </c>
      <c r="M42" s="29">
        <f t="shared" si="8"/>
        <v>2421.8725260658521</v>
      </c>
      <c r="N42" s="28">
        <f t="shared" si="9"/>
        <v>315.12747393414793</v>
      </c>
      <c r="O42" s="29">
        <f t="shared" si="10"/>
        <v>315.12747393414793</v>
      </c>
      <c r="P42" s="68">
        <f t="shared" si="11"/>
        <v>99305.324828117082</v>
      </c>
    </row>
    <row r="43" spans="1:16" ht="15.6" x14ac:dyDescent="0.3">
      <c r="A43" s="42">
        <v>45086</v>
      </c>
      <c r="B43" s="7">
        <v>2329</v>
      </c>
      <c r="C43" s="23" t="str">
        <f t="shared" si="0"/>
        <v>Fri</v>
      </c>
      <c r="D43" s="23">
        <f t="shared" si="1"/>
        <v>6</v>
      </c>
      <c r="E43" s="26">
        <f t="shared" si="13"/>
        <v>1572</v>
      </c>
      <c r="F43" s="31">
        <f t="shared" si="2"/>
        <v>757</v>
      </c>
      <c r="G43" s="22">
        <f t="shared" si="3"/>
        <v>757</v>
      </c>
      <c r="H43" s="32">
        <f t="shared" si="4"/>
        <v>573049</v>
      </c>
      <c r="I43" s="29">
        <f t="shared" si="5"/>
        <v>1746.1428571428571</v>
      </c>
      <c r="J43" s="28">
        <f t="shared" si="6"/>
        <v>582.85714285714289</v>
      </c>
      <c r="K43" s="29">
        <v>582.85714285714289</v>
      </c>
      <c r="L43" s="33">
        <f t="shared" si="7"/>
        <v>339722.44897959189</v>
      </c>
      <c r="M43" s="29">
        <f t="shared" si="8"/>
        <v>2006.8688378788845</v>
      </c>
      <c r="N43" s="28">
        <f t="shared" si="9"/>
        <v>322.13116212111549</v>
      </c>
      <c r="O43" s="29">
        <f t="shared" si="10"/>
        <v>322.13116212111549</v>
      </c>
      <c r="P43" s="68">
        <f t="shared" si="11"/>
        <v>103768.48560950039</v>
      </c>
    </row>
    <row r="44" spans="1:16" ht="15.6" x14ac:dyDescent="0.3">
      <c r="A44" s="42">
        <v>45087</v>
      </c>
      <c r="B44" s="7">
        <v>1540</v>
      </c>
      <c r="C44" s="23" t="str">
        <f t="shared" si="0"/>
        <v>Sat</v>
      </c>
      <c r="D44" s="23">
        <f t="shared" si="1"/>
        <v>7</v>
      </c>
      <c r="E44" s="26">
        <f t="shared" si="13"/>
        <v>948</v>
      </c>
      <c r="F44" s="31">
        <f t="shared" si="2"/>
        <v>592</v>
      </c>
      <c r="G44" s="22">
        <f t="shared" si="3"/>
        <v>592</v>
      </c>
      <c r="H44" s="32">
        <f t="shared" si="4"/>
        <v>350464</v>
      </c>
      <c r="I44" s="29">
        <f t="shared" si="5"/>
        <v>1250</v>
      </c>
      <c r="J44" s="28">
        <f t="shared" si="6"/>
        <v>290</v>
      </c>
      <c r="K44" s="29">
        <v>290</v>
      </c>
      <c r="L44" s="33">
        <f t="shared" si="7"/>
        <v>84100</v>
      </c>
      <c r="M44" s="29">
        <f t="shared" si="8"/>
        <v>1555.759601561178</v>
      </c>
      <c r="N44" s="28">
        <f t="shared" si="9"/>
        <v>-15.759601561177988</v>
      </c>
      <c r="O44" s="29">
        <f t="shared" si="10"/>
        <v>15.759601561177988</v>
      </c>
      <c r="P44" s="68">
        <f t="shared" si="11"/>
        <v>248.36504136708368</v>
      </c>
    </row>
    <row r="45" spans="1:16" ht="15.6" x14ac:dyDescent="0.3">
      <c r="A45" s="42">
        <v>45088</v>
      </c>
      <c r="B45" s="7">
        <v>1787</v>
      </c>
      <c r="C45" s="23" t="str">
        <f t="shared" si="0"/>
        <v>Sun</v>
      </c>
      <c r="D45" s="23">
        <f t="shared" si="1"/>
        <v>1</v>
      </c>
      <c r="E45" s="26">
        <f t="shared" si="13"/>
        <v>1085</v>
      </c>
      <c r="F45" s="31">
        <f t="shared" si="2"/>
        <v>702</v>
      </c>
      <c r="G45" s="22">
        <f t="shared" si="3"/>
        <v>702</v>
      </c>
      <c r="H45" s="32">
        <f t="shared" si="4"/>
        <v>492804</v>
      </c>
      <c r="I45" s="29">
        <f t="shared" si="5"/>
        <v>1194.2857142857142</v>
      </c>
      <c r="J45" s="28">
        <f t="shared" si="6"/>
        <v>592.71428571428578</v>
      </c>
      <c r="K45" s="29">
        <v>592.71428571428578</v>
      </c>
      <c r="L45" s="33">
        <f t="shared" si="7"/>
        <v>351310.22448979598</v>
      </c>
      <c r="M45" s="29">
        <f t="shared" si="8"/>
        <v>1500.5622866904164</v>
      </c>
      <c r="N45" s="28">
        <f t="shared" si="9"/>
        <v>286.43771330958361</v>
      </c>
      <c r="O45" s="29">
        <f t="shared" si="10"/>
        <v>286.43771330958361</v>
      </c>
      <c r="P45" s="68">
        <f t="shared" si="11"/>
        <v>82046.563606023221</v>
      </c>
    </row>
    <row r="46" spans="1:16" ht="15.6" x14ac:dyDescent="0.3">
      <c r="A46" s="42">
        <v>45089</v>
      </c>
      <c r="B46" s="7">
        <v>3102</v>
      </c>
      <c r="C46" s="23" t="str">
        <f t="shared" si="0"/>
        <v>Mon</v>
      </c>
      <c r="D46" s="23">
        <f t="shared" si="1"/>
        <v>2</v>
      </c>
      <c r="E46" s="26">
        <f t="shared" si="13"/>
        <v>2917</v>
      </c>
      <c r="F46" s="31">
        <f t="shared" si="2"/>
        <v>185</v>
      </c>
      <c r="G46" s="22">
        <f t="shared" si="3"/>
        <v>185</v>
      </c>
      <c r="H46" s="32">
        <f t="shared" si="4"/>
        <v>34225</v>
      </c>
      <c r="I46" s="29">
        <f t="shared" si="5"/>
        <v>2154.2857142857142</v>
      </c>
      <c r="J46" s="28">
        <f t="shared" si="6"/>
        <v>947.71428571428578</v>
      </c>
      <c r="K46" s="29">
        <v>947.71428571428578</v>
      </c>
      <c r="L46" s="33">
        <f t="shared" si="7"/>
        <v>898162.36734693893</v>
      </c>
      <c r="M46" s="29">
        <f t="shared" si="8"/>
        <v>2577.1362155543247</v>
      </c>
      <c r="N46" s="28">
        <f t="shared" si="9"/>
        <v>524.86378444567526</v>
      </c>
      <c r="O46" s="29">
        <f t="shared" si="10"/>
        <v>524.86378444567526</v>
      </c>
      <c r="P46" s="68">
        <f t="shared" si="11"/>
        <v>275481.99222263624</v>
      </c>
    </row>
    <row r="47" spans="1:16" ht="15.6" x14ac:dyDescent="0.3">
      <c r="A47" s="42">
        <v>45090</v>
      </c>
      <c r="B47" s="7">
        <v>2403</v>
      </c>
      <c r="C47" s="23" t="str">
        <f t="shared" si="0"/>
        <v>Tue</v>
      </c>
      <c r="D47" s="23">
        <f t="shared" si="1"/>
        <v>3</v>
      </c>
      <c r="E47" s="26">
        <f t="shared" si="13"/>
        <v>2801</v>
      </c>
      <c r="F47" s="31">
        <f t="shared" si="2"/>
        <v>-398</v>
      </c>
      <c r="G47" s="22">
        <f t="shared" si="3"/>
        <v>398</v>
      </c>
      <c r="H47" s="32">
        <f t="shared" si="4"/>
        <v>158404</v>
      </c>
      <c r="I47" s="29">
        <f t="shared" si="5"/>
        <v>2160.2857142857142</v>
      </c>
      <c r="J47" s="28">
        <f t="shared" si="6"/>
        <v>242.71428571428578</v>
      </c>
      <c r="K47" s="29">
        <v>242.71428571428578</v>
      </c>
      <c r="L47" s="33">
        <f t="shared" si="7"/>
        <v>58910.224489795946</v>
      </c>
      <c r="M47" s="29">
        <f t="shared" si="8"/>
        <v>2550.6454958024624</v>
      </c>
      <c r="N47" s="28">
        <f t="shared" si="9"/>
        <v>-147.64549580246239</v>
      </c>
      <c r="O47" s="29">
        <f t="shared" si="10"/>
        <v>147.64549580246239</v>
      </c>
      <c r="P47" s="68">
        <f t="shared" si="11"/>
        <v>21799.192430754942</v>
      </c>
    </row>
    <row r="48" spans="1:16" ht="15.6" x14ac:dyDescent="0.3">
      <c r="A48" s="42">
        <v>45091</v>
      </c>
      <c r="B48" s="7">
        <v>2927</v>
      </c>
      <c r="C48" s="23" t="str">
        <f t="shared" si="0"/>
        <v>Wed</v>
      </c>
      <c r="D48" s="23">
        <f t="shared" si="1"/>
        <v>4</v>
      </c>
      <c r="E48" s="26">
        <f t="shared" si="13"/>
        <v>3075</v>
      </c>
      <c r="F48" s="31">
        <f t="shared" si="2"/>
        <v>-148</v>
      </c>
      <c r="G48" s="22">
        <f t="shared" si="3"/>
        <v>148</v>
      </c>
      <c r="H48" s="32">
        <f t="shared" si="4"/>
        <v>21904</v>
      </c>
      <c r="I48" s="29">
        <f t="shared" si="5"/>
        <v>2247.7142857142858</v>
      </c>
      <c r="J48" s="28">
        <f t="shared" si="6"/>
        <v>679.28571428571422</v>
      </c>
      <c r="K48" s="29">
        <v>679.28571428571422</v>
      </c>
      <c r="L48" s="33">
        <f t="shared" si="7"/>
        <v>461429.08163265296</v>
      </c>
      <c r="M48" s="29">
        <f t="shared" si="8"/>
        <v>2645.405165453672</v>
      </c>
      <c r="N48" s="28">
        <f t="shared" si="9"/>
        <v>281.594834546328</v>
      </c>
      <c r="O48" s="29">
        <f t="shared" si="10"/>
        <v>281.594834546328</v>
      </c>
      <c r="P48" s="68">
        <f t="shared" si="11"/>
        <v>79295.650843173848</v>
      </c>
    </row>
    <row r="49" spans="1:16" ht="15.6" x14ac:dyDescent="0.3">
      <c r="A49" s="42">
        <v>45092</v>
      </c>
      <c r="B49" s="7">
        <v>3213</v>
      </c>
      <c r="C49" s="23" t="str">
        <f t="shared" si="0"/>
        <v>Thu</v>
      </c>
      <c r="D49" s="23">
        <f t="shared" si="1"/>
        <v>5</v>
      </c>
      <c r="E49" s="26">
        <f t="shared" si="13"/>
        <v>2737</v>
      </c>
      <c r="F49" s="31">
        <f t="shared" si="2"/>
        <v>476</v>
      </c>
      <c r="G49" s="22">
        <f t="shared" si="3"/>
        <v>476</v>
      </c>
      <c r="H49" s="32">
        <f t="shared" si="4"/>
        <v>226576</v>
      </c>
      <c r="I49" s="29">
        <f t="shared" si="5"/>
        <v>2156.1428571428573</v>
      </c>
      <c r="J49" s="28">
        <f t="shared" si="6"/>
        <v>1056.8571428571427</v>
      </c>
      <c r="K49" s="29">
        <v>1056.8571428571427</v>
      </c>
      <c r="L49" s="33">
        <f t="shared" si="7"/>
        <v>1116947.0204081628</v>
      </c>
      <c r="M49" s="29">
        <f t="shared" si="8"/>
        <v>2578.5333579492599</v>
      </c>
      <c r="N49" s="28">
        <f t="shared" si="9"/>
        <v>634.46664205074012</v>
      </c>
      <c r="O49" s="29">
        <f t="shared" si="10"/>
        <v>634.46664205074012</v>
      </c>
      <c r="P49" s="68">
        <f t="shared" si="11"/>
        <v>402547.91987514199</v>
      </c>
    </row>
    <row r="50" spans="1:16" ht="15.6" x14ac:dyDescent="0.3">
      <c r="A50" s="42">
        <v>45093</v>
      </c>
      <c r="B50" s="7">
        <v>2194</v>
      </c>
      <c r="C50" s="23" t="str">
        <f t="shared" si="0"/>
        <v>Fri</v>
      </c>
      <c r="D50" s="23">
        <f t="shared" si="1"/>
        <v>6</v>
      </c>
      <c r="E50" s="26">
        <f t="shared" si="13"/>
        <v>2329</v>
      </c>
      <c r="F50" s="31">
        <f t="shared" si="2"/>
        <v>-135</v>
      </c>
      <c r="G50" s="22">
        <f t="shared" si="3"/>
        <v>135</v>
      </c>
      <c r="H50" s="32">
        <f t="shared" si="4"/>
        <v>18225</v>
      </c>
      <c r="I50" s="29">
        <f t="shared" si="5"/>
        <v>1746.1428571428571</v>
      </c>
      <c r="J50" s="28">
        <f t="shared" si="6"/>
        <v>447.85714285714289</v>
      </c>
      <c r="K50" s="29">
        <v>447.85714285714289</v>
      </c>
      <c r="L50" s="33">
        <f t="shared" si="7"/>
        <v>200576.02040816328</v>
      </c>
      <c r="M50" s="29">
        <f t="shared" si="8"/>
        <v>2163.5296697622916</v>
      </c>
      <c r="N50" s="28">
        <f t="shared" si="9"/>
        <v>30.470330237708367</v>
      </c>
      <c r="O50" s="29">
        <f t="shared" si="10"/>
        <v>30.470330237708367</v>
      </c>
      <c r="P50" s="68">
        <f t="shared" si="11"/>
        <v>928.44102479500486</v>
      </c>
    </row>
    <row r="51" spans="1:16" ht="15.6" x14ac:dyDescent="0.3">
      <c r="A51" s="42">
        <v>45094</v>
      </c>
      <c r="B51" s="7">
        <v>1780</v>
      </c>
      <c r="C51" s="23" t="str">
        <f t="shared" si="0"/>
        <v>Sat</v>
      </c>
      <c r="D51" s="23">
        <f t="shared" si="1"/>
        <v>7</v>
      </c>
      <c r="E51" s="26">
        <f t="shared" si="13"/>
        <v>1540</v>
      </c>
      <c r="F51" s="31">
        <f t="shared" si="2"/>
        <v>240</v>
      </c>
      <c r="G51" s="22">
        <f t="shared" si="3"/>
        <v>240</v>
      </c>
      <c r="H51" s="32">
        <f t="shared" si="4"/>
        <v>57600</v>
      </c>
      <c r="I51" s="29">
        <f t="shared" si="5"/>
        <v>1250</v>
      </c>
      <c r="J51" s="28">
        <f t="shared" si="6"/>
        <v>530</v>
      </c>
      <c r="K51" s="29">
        <v>530</v>
      </c>
      <c r="L51" s="33">
        <f t="shared" si="7"/>
        <v>280900</v>
      </c>
      <c r="M51" s="29">
        <f t="shared" si="8"/>
        <v>1712.4204334445853</v>
      </c>
      <c r="N51" s="28">
        <f t="shared" si="9"/>
        <v>67.579566555414658</v>
      </c>
      <c r="O51" s="29">
        <f t="shared" si="10"/>
        <v>67.579566555414658</v>
      </c>
      <c r="P51" s="68">
        <f t="shared" si="11"/>
        <v>4566.9978158177191</v>
      </c>
    </row>
    <row r="52" spans="1:16" ht="15.6" x14ac:dyDescent="0.3">
      <c r="A52" s="42">
        <v>45095</v>
      </c>
      <c r="B52" s="7">
        <v>1408</v>
      </c>
      <c r="C52" s="23" t="str">
        <f t="shared" si="0"/>
        <v>Sun</v>
      </c>
      <c r="D52" s="23">
        <f t="shared" si="1"/>
        <v>1</v>
      </c>
      <c r="E52" s="26">
        <f t="shared" si="13"/>
        <v>1787</v>
      </c>
      <c r="F52" s="31">
        <f t="shared" si="2"/>
        <v>-379</v>
      </c>
      <c r="G52" s="22">
        <f t="shared" si="3"/>
        <v>379</v>
      </c>
      <c r="H52" s="32">
        <f t="shared" si="4"/>
        <v>143641</v>
      </c>
      <c r="I52" s="29">
        <f t="shared" si="5"/>
        <v>1194.2857142857142</v>
      </c>
      <c r="J52" s="28">
        <f t="shared" si="6"/>
        <v>213.71428571428578</v>
      </c>
      <c r="K52" s="29">
        <v>213.71428571428578</v>
      </c>
      <c r="L52" s="33">
        <f t="shared" si="7"/>
        <v>45673.795918367374</v>
      </c>
      <c r="M52" s="29">
        <f t="shared" si="8"/>
        <v>1657.2231185738237</v>
      </c>
      <c r="N52" s="28">
        <f t="shared" si="9"/>
        <v>-249.22311857382374</v>
      </c>
      <c r="O52" s="29">
        <f t="shared" si="10"/>
        <v>249.22311857382374</v>
      </c>
      <c r="P52" s="68">
        <f t="shared" si="11"/>
        <v>62112.162831662208</v>
      </c>
    </row>
    <row r="53" spans="1:16" ht="15.6" x14ac:dyDescent="0.3">
      <c r="A53" s="42">
        <v>45096</v>
      </c>
      <c r="B53" s="7">
        <v>2920</v>
      </c>
      <c r="C53" s="23" t="str">
        <f t="shared" si="0"/>
        <v>Mon</v>
      </c>
      <c r="D53" s="23">
        <f t="shared" si="1"/>
        <v>2</v>
      </c>
      <c r="E53" s="26">
        <f t="shared" si="13"/>
        <v>3102</v>
      </c>
      <c r="F53" s="31">
        <f t="shared" si="2"/>
        <v>-182</v>
      </c>
      <c r="G53" s="22">
        <f t="shared" si="3"/>
        <v>182</v>
      </c>
      <c r="H53" s="32">
        <f t="shared" si="4"/>
        <v>33124</v>
      </c>
      <c r="I53" s="29">
        <f t="shared" si="5"/>
        <v>2154.2857142857142</v>
      </c>
      <c r="J53" s="28">
        <f t="shared" si="6"/>
        <v>765.71428571428578</v>
      </c>
      <c r="K53" s="29">
        <v>765.71428571428578</v>
      </c>
      <c r="L53" s="33">
        <f t="shared" si="7"/>
        <v>586318.36734693893</v>
      </c>
      <c r="M53" s="29">
        <f t="shared" si="8"/>
        <v>2733.7970474377321</v>
      </c>
      <c r="N53" s="28">
        <f t="shared" si="9"/>
        <v>186.20295256226791</v>
      </c>
      <c r="O53" s="29">
        <f t="shared" si="10"/>
        <v>186.20295256226791</v>
      </c>
      <c r="P53" s="68">
        <f t="shared" si="11"/>
        <v>34671.539542906197</v>
      </c>
    </row>
    <row r="54" spans="1:16" ht="15.6" x14ac:dyDescent="0.3">
      <c r="A54" s="42">
        <v>45097</v>
      </c>
      <c r="B54" s="7">
        <v>2647</v>
      </c>
      <c r="C54" s="23" t="str">
        <f t="shared" si="0"/>
        <v>Tue</v>
      </c>
      <c r="D54" s="23">
        <f t="shared" si="1"/>
        <v>3</v>
      </c>
      <c r="E54" s="26">
        <f t="shared" si="13"/>
        <v>2403</v>
      </c>
      <c r="F54" s="31">
        <f t="shared" si="2"/>
        <v>244</v>
      </c>
      <c r="G54" s="22">
        <f t="shared" si="3"/>
        <v>244</v>
      </c>
      <c r="H54" s="32">
        <f t="shared" si="4"/>
        <v>59536</v>
      </c>
      <c r="I54" s="29">
        <f t="shared" si="5"/>
        <v>2160.2857142857142</v>
      </c>
      <c r="J54" s="28">
        <f t="shared" si="6"/>
        <v>486.71428571428578</v>
      </c>
      <c r="K54" s="29">
        <v>486.71428571428578</v>
      </c>
      <c r="L54" s="33">
        <f t="shared" si="7"/>
        <v>236890.7959183674</v>
      </c>
      <c r="M54" s="29">
        <f t="shared" si="8"/>
        <v>2707.3063276858697</v>
      </c>
      <c r="N54" s="28">
        <f t="shared" si="9"/>
        <v>-60.306327685869746</v>
      </c>
      <c r="O54" s="29">
        <f t="shared" si="10"/>
        <v>60.306327685869746</v>
      </c>
      <c r="P54" s="68">
        <f t="shared" si="11"/>
        <v>3636.8531589555</v>
      </c>
    </row>
    <row r="55" spans="1:16" ht="15.6" x14ac:dyDescent="0.3">
      <c r="A55" s="42">
        <v>45098</v>
      </c>
      <c r="B55" s="7">
        <v>3020</v>
      </c>
      <c r="C55" s="23" t="str">
        <f t="shared" si="0"/>
        <v>Wed</v>
      </c>
      <c r="D55" s="23">
        <f t="shared" si="1"/>
        <v>4</v>
      </c>
      <c r="E55" s="26">
        <f t="shared" si="13"/>
        <v>2927</v>
      </c>
      <c r="F55" s="31">
        <f t="shared" si="2"/>
        <v>93</v>
      </c>
      <c r="G55" s="22">
        <f t="shared" si="3"/>
        <v>93</v>
      </c>
      <c r="H55" s="32">
        <f t="shared" si="4"/>
        <v>8649</v>
      </c>
      <c r="I55" s="29">
        <f t="shared" si="5"/>
        <v>2247.7142857142858</v>
      </c>
      <c r="J55" s="28">
        <f t="shared" si="6"/>
        <v>772.28571428571422</v>
      </c>
      <c r="K55" s="29">
        <v>772.28571428571422</v>
      </c>
      <c r="L55" s="33">
        <f t="shared" si="7"/>
        <v>596425.22448979586</v>
      </c>
      <c r="M55" s="29">
        <f t="shared" si="8"/>
        <v>2802.0659973370789</v>
      </c>
      <c r="N55" s="28">
        <f t="shared" si="9"/>
        <v>217.9340026629211</v>
      </c>
      <c r="O55" s="29">
        <f t="shared" si="10"/>
        <v>217.9340026629211</v>
      </c>
      <c r="P55" s="68">
        <f t="shared" si="11"/>
        <v>47495.229516682099</v>
      </c>
    </row>
    <row r="56" spans="1:16" ht="15.6" x14ac:dyDescent="0.3">
      <c r="A56" s="42">
        <v>45099</v>
      </c>
      <c r="B56" s="7">
        <v>2338</v>
      </c>
      <c r="C56" s="23" t="str">
        <f t="shared" si="0"/>
        <v>Thu</v>
      </c>
      <c r="D56" s="23">
        <f t="shared" si="1"/>
        <v>5</v>
      </c>
      <c r="E56" s="26">
        <f t="shared" si="13"/>
        <v>3213</v>
      </c>
      <c r="F56" s="31">
        <f t="shared" si="2"/>
        <v>-875</v>
      </c>
      <c r="G56" s="22">
        <f t="shared" si="3"/>
        <v>875</v>
      </c>
      <c r="H56" s="32">
        <f t="shared" si="4"/>
        <v>765625</v>
      </c>
      <c r="I56" s="29">
        <f t="shared" si="5"/>
        <v>2156.1428571428573</v>
      </c>
      <c r="J56" s="28">
        <f t="shared" si="6"/>
        <v>181.85714285714266</v>
      </c>
      <c r="K56" s="29">
        <v>181.85714285714266</v>
      </c>
      <c r="L56" s="33">
        <f t="shared" si="7"/>
        <v>33072.020408163196</v>
      </c>
      <c r="M56" s="29">
        <f t="shared" si="8"/>
        <v>2735.1941898326668</v>
      </c>
      <c r="N56" s="28">
        <f t="shared" si="9"/>
        <v>-397.19418983266678</v>
      </c>
      <c r="O56" s="29">
        <f t="shared" si="10"/>
        <v>397.19418983266678</v>
      </c>
      <c r="P56" s="68">
        <f t="shared" si="11"/>
        <v>157763.22443682855</v>
      </c>
    </row>
    <row r="57" spans="1:16" ht="15.6" x14ac:dyDescent="0.3">
      <c r="A57" s="42">
        <v>45100</v>
      </c>
      <c r="B57" s="7">
        <v>2950</v>
      </c>
      <c r="C57" s="23" t="str">
        <f t="shared" si="0"/>
        <v>Fri</v>
      </c>
      <c r="D57" s="23">
        <f t="shared" si="1"/>
        <v>6</v>
      </c>
      <c r="E57" s="26">
        <f t="shared" si="13"/>
        <v>2194</v>
      </c>
      <c r="F57" s="31">
        <f t="shared" si="2"/>
        <v>756</v>
      </c>
      <c r="G57" s="22">
        <f t="shared" si="3"/>
        <v>756</v>
      </c>
      <c r="H57" s="32">
        <f t="shared" si="4"/>
        <v>571536</v>
      </c>
      <c r="I57" s="29">
        <f t="shared" si="5"/>
        <v>1746.1428571428571</v>
      </c>
      <c r="J57" s="28">
        <f t="shared" si="6"/>
        <v>1203.8571428571429</v>
      </c>
      <c r="K57" s="29">
        <v>1203.8571428571429</v>
      </c>
      <c r="L57" s="33">
        <f t="shared" si="7"/>
        <v>1449272.0204081633</v>
      </c>
      <c r="M57" s="29">
        <f t="shared" si="8"/>
        <v>2320.190501645699</v>
      </c>
      <c r="N57" s="28">
        <f t="shared" si="9"/>
        <v>629.80949835430101</v>
      </c>
      <c r="O57" s="29">
        <f t="shared" si="10"/>
        <v>629.80949835430101</v>
      </c>
      <c r="P57" s="68">
        <f t="shared" si="11"/>
        <v>396660.00421729631</v>
      </c>
    </row>
    <row r="58" spans="1:16" ht="15.6" x14ac:dyDescent="0.3">
      <c r="A58" s="42">
        <v>45101</v>
      </c>
      <c r="B58" s="7">
        <v>1601</v>
      </c>
      <c r="C58" s="23" t="str">
        <f t="shared" si="0"/>
        <v>Sat</v>
      </c>
      <c r="D58" s="23">
        <f t="shared" si="1"/>
        <v>7</v>
      </c>
      <c r="E58" s="26">
        <f t="shared" si="13"/>
        <v>1780</v>
      </c>
      <c r="F58" s="31">
        <f t="shared" si="2"/>
        <v>-179</v>
      </c>
      <c r="G58" s="22">
        <f t="shared" si="3"/>
        <v>179</v>
      </c>
      <c r="H58" s="32">
        <f t="shared" si="4"/>
        <v>32041</v>
      </c>
      <c r="I58" s="29">
        <f t="shared" si="5"/>
        <v>1250</v>
      </c>
      <c r="J58" s="28">
        <f t="shared" si="6"/>
        <v>351</v>
      </c>
      <c r="K58" s="29">
        <v>351</v>
      </c>
      <c r="L58" s="33">
        <f t="shared" si="7"/>
        <v>123201</v>
      </c>
      <c r="M58" s="29">
        <f t="shared" si="8"/>
        <v>1869.0812653279927</v>
      </c>
      <c r="N58" s="28">
        <f t="shared" si="9"/>
        <v>-268.0812653279927</v>
      </c>
      <c r="O58" s="29">
        <f t="shared" si="10"/>
        <v>268.0812653279927</v>
      </c>
      <c r="P58" s="68">
        <f t="shared" si="11"/>
        <v>71867.564819857624</v>
      </c>
    </row>
    <row r="59" spans="1:16" ht="16.2" thickBot="1" x14ac:dyDescent="0.35">
      <c r="A59" s="43">
        <v>45102</v>
      </c>
      <c r="B59" s="44">
        <v>1615</v>
      </c>
      <c r="C59" s="45" t="str">
        <f t="shared" si="0"/>
        <v>Sun</v>
      </c>
      <c r="D59" s="45">
        <f t="shared" si="1"/>
        <v>1</v>
      </c>
      <c r="E59" s="46">
        <f t="shared" si="13"/>
        <v>1408</v>
      </c>
      <c r="F59" s="47">
        <f t="shared" si="2"/>
        <v>207</v>
      </c>
      <c r="G59" s="40">
        <f t="shared" si="3"/>
        <v>207</v>
      </c>
      <c r="H59" s="48">
        <f t="shared" si="4"/>
        <v>42849</v>
      </c>
      <c r="I59" s="49">
        <f t="shared" si="5"/>
        <v>1194.2857142857142</v>
      </c>
      <c r="J59" s="50">
        <f t="shared" si="6"/>
        <v>420.71428571428578</v>
      </c>
      <c r="K59" s="49">
        <v>420.71428571428578</v>
      </c>
      <c r="L59" s="51">
        <f t="shared" si="7"/>
        <v>177000.51020408169</v>
      </c>
      <c r="M59" s="49">
        <f t="shared" si="8"/>
        <v>1813.8839504572311</v>
      </c>
      <c r="N59" s="50">
        <f t="shared" si="9"/>
        <v>-198.88395045723109</v>
      </c>
      <c r="O59" s="49">
        <f t="shared" si="10"/>
        <v>198.88395045723109</v>
      </c>
      <c r="P59" s="69">
        <f t="shared" si="11"/>
        <v>39554.825749474352</v>
      </c>
    </row>
  </sheetData>
  <mergeCells count="2">
    <mergeCell ref="E2:P2"/>
    <mergeCell ref="X2:AC2"/>
  </mergeCells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76E81-AD55-415A-95F2-4F55BDFB789D}">
  <dimension ref="A3:AD36"/>
  <sheetViews>
    <sheetView topLeftCell="A3" workbookViewId="0">
      <selection activeCell="R19" sqref="R19"/>
    </sheetView>
  </sheetViews>
  <sheetFormatPr defaultRowHeight="14.4" x14ac:dyDescent="0.3"/>
  <sheetData>
    <row r="3" spans="1:30" ht="15" thickBot="1" x14ac:dyDescent="0.35"/>
    <row r="4" spans="1:30" ht="15" thickBot="1" x14ac:dyDescent="0.35">
      <c r="A4" s="125" t="s">
        <v>58</v>
      </c>
      <c r="B4" s="126"/>
      <c r="C4" s="126"/>
      <c r="D4" s="116">
        <v>2887</v>
      </c>
    </row>
    <row r="5" spans="1:30" ht="15" thickBot="1" x14ac:dyDescent="0.35">
      <c r="D5" s="131" t="s">
        <v>86</v>
      </c>
      <c r="E5" s="132"/>
      <c r="F5" s="132"/>
      <c r="G5" s="132"/>
      <c r="H5" s="132"/>
      <c r="I5" s="132"/>
      <c r="J5" s="132"/>
      <c r="K5" s="132"/>
      <c r="L5" s="132"/>
      <c r="M5" s="132"/>
      <c r="N5" s="132"/>
      <c r="O5" s="133"/>
    </row>
    <row r="6" spans="1:30" ht="15" thickBot="1" x14ac:dyDescent="0.35">
      <c r="D6" s="127" t="s">
        <v>51</v>
      </c>
      <c r="E6" s="127"/>
      <c r="N6" s="127" t="s">
        <v>226</v>
      </c>
      <c r="O6" s="127"/>
      <c r="U6" s="128" t="s">
        <v>224</v>
      </c>
      <c r="V6" s="129"/>
      <c r="W6" s="129"/>
      <c r="X6" s="129"/>
      <c r="Y6" s="130"/>
    </row>
    <row r="7" spans="1:30" x14ac:dyDescent="0.3">
      <c r="A7">
        <v>0.28888821069978943</v>
      </c>
      <c r="B7">
        <v>0.21582689901425214</v>
      </c>
      <c r="C7">
        <v>0.55754264961699274</v>
      </c>
      <c r="D7" s="73">
        <v>0.15451521347697378</v>
      </c>
      <c r="E7">
        <v>2.8046510208441421E-2</v>
      </c>
      <c r="F7">
        <v>0.32160405285805843</v>
      </c>
      <c r="G7">
        <v>0.47544785912656023</v>
      </c>
      <c r="H7">
        <v>7.9927976317636651E-2</v>
      </c>
      <c r="I7">
        <v>6.0151982177190463E-2</v>
      </c>
      <c r="J7">
        <v>0.26331369975890379</v>
      </c>
      <c r="K7">
        <v>0.14746543778801843</v>
      </c>
      <c r="L7">
        <v>0.73827326273384808</v>
      </c>
      <c r="M7">
        <v>0.56385998107852409</v>
      </c>
      <c r="N7" s="73">
        <v>0.81020538956877342</v>
      </c>
      <c r="O7">
        <v>0.85055085909604178</v>
      </c>
      <c r="P7">
        <v>4.5319986571855833E-2</v>
      </c>
      <c r="Q7">
        <v>5.2095095675527205E-2</v>
      </c>
      <c r="R7">
        <v>0.14264351329081087</v>
      </c>
      <c r="S7">
        <v>0.3856013672292245</v>
      </c>
      <c r="T7">
        <v>7.138279366435743E-2</v>
      </c>
      <c r="U7" s="118">
        <v>0.39463484603411969</v>
      </c>
      <c r="V7">
        <v>0.90966521195104832</v>
      </c>
      <c r="W7">
        <v>0.53093050935392316</v>
      </c>
      <c r="X7">
        <v>0.80642109439374976</v>
      </c>
      <c r="Y7" s="117">
        <v>0.147343363750114</v>
      </c>
      <c r="Z7">
        <v>0.36594744712668231</v>
      </c>
      <c r="AA7">
        <v>0.25498214667195657</v>
      </c>
      <c r="AB7">
        <v>0.64616840113528851</v>
      </c>
      <c r="AC7">
        <v>0.71926023133030181</v>
      </c>
      <c r="AD7">
        <v>0.99594103823969238</v>
      </c>
    </row>
    <row r="8" spans="1:30" x14ac:dyDescent="0.3">
      <c r="A8">
        <v>0.4706259346293527</v>
      </c>
      <c r="B8">
        <v>0.25495162816248057</v>
      </c>
      <c r="C8">
        <v>0.40885647144993437</v>
      </c>
      <c r="D8" s="73">
        <v>0.52952665791802733</v>
      </c>
      <c r="E8">
        <v>0.6113162633136997</v>
      </c>
      <c r="F8">
        <v>0.96188238166447948</v>
      </c>
      <c r="G8">
        <v>0.84075441755424662</v>
      </c>
      <c r="H8">
        <v>0.7576525162511063</v>
      </c>
      <c r="I8">
        <v>0.81087679677724545</v>
      </c>
      <c r="J8">
        <v>0.34632404553361612</v>
      </c>
      <c r="K8">
        <v>0.83382671590319524</v>
      </c>
      <c r="L8">
        <v>5.2003540147099216E-2</v>
      </c>
      <c r="M8">
        <v>0.96813867610705895</v>
      </c>
      <c r="N8" s="73">
        <v>0.16925565355388042</v>
      </c>
      <c r="O8">
        <v>0.23261207922605059</v>
      </c>
      <c r="P8">
        <v>0.99685659352397227</v>
      </c>
      <c r="Q8">
        <v>0.47755363628040409</v>
      </c>
      <c r="R8">
        <v>0.30649739066743981</v>
      </c>
      <c r="S8">
        <v>0.73250526444288466</v>
      </c>
      <c r="T8">
        <v>3.7751396221808529E-2</v>
      </c>
      <c r="U8" s="118">
        <v>0.90701010162663653</v>
      </c>
      <c r="V8">
        <v>0.8401135288552507</v>
      </c>
      <c r="W8">
        <v>0.23038422803430281</v>
      </c>
      <c r="X8">
        <v>0.55473494674520096</v>
      </c>
      <c r="Y8" s="117">
        <v>0.40415662099063082</v>
      </c>
      <c r="Z8">
        <v>0.96420178838465531</v>
      </c>
      <c r="AA8">
        <v>0.73216956083864859</v>
      </c>
      <c r="AB8">
        <v>0.26502273628955964</v>
      </c>
      <c r="AC8">
        <v>0.11261329996642964</v>
      </c>
      <c r="AD8">
        <v>0.86172063356425677</v>
      </c>
    </row>
    <row r="9" spans="1:30" x14ac:dyDescent="0.3">
      <c r="A9">
        <v>0.34788048951689199</v>
      </c>
      <c r="B9">
        <v>0.36249885555589467</v>
      </c>
      <c r="C9">
        <v>0.37916196172978911</v>
      </c>
      <c r="D9" s="73">
        <v>0.2077089754936369</v>
      </c>
      <c r="E9">
        <v>0.40607928708761865</v>
      </c>
      <c r="F9">
        <v>0.29935605945005644</v>
      </c>
      <c r="G9">
        <v>3.2990508743552964E-2</v>
      </c>
      <c r="H9">
        <v>0.45643482772301402</v>
      </c>
      <c r="I9">
        <v>0.21866512039551989</v>
      </c>
      <c r="J9">
        <v>0.61702322458571124</v>
      </c>
      <c r="K9">
        <v>0.51884517960142829</v>
      </c>
      <c r="L9">
        <v>0.5671864986114078</v>
      </c>
      <c r="M9">
        <v>0.52726828821680349</v>
      </c>
      <c r="N9" s="73">
        <v>0.73174230170598464</v>
      </c>
      <c r="O9">
        <v>0.16458632160405287</v>
      </c>
      <c r="P9">
        <v>0.32636494033631397</v>
      </c>
      <c r="Q9">
        <v>0.16248054445020904</v>
      </c>
      <c r="R9">
        <v>8.1728568376720476E-2</v>
      </c>
      <c r="S9">
        <v>0.36490981780449844</v>
      </c>
      <c r="T9">
        <v>0.92141483809930724</v>
      </c>
      <c r="U9" s="118">
        <v>0.94750816370128488</v>
      </c>
      <c r="V9">
        <v>0.54197820978423417</v>
      </c>
      <c r="W9">
        <v>0.96249275185399941</v>
      </c>
      <c r="X9">
        <v>0.92266609698782309</v>
      </c>
      <c r="Y9" s="117">
        <v>0.37665944395275736</v>
      </c>
      <c r="Z9">
        <v>0.51246681112094483</v>
      </c>
      <c r="AA9">
        <v>0.6071352275154881</v>
      </c>
      <c r="AB9">
        <v>0.32999664296395764</v>
      </c>
      <c r="AC9">
        <v>0.10116885891293069</v>
      </c>
      <c r="AD9">
        <v>0.58699301126132997</v>
      </c>
    </row>
    <row r="10" spans="1:30" x14ac:dyDescent="0.3">
      <c r="A10">
        <v>0.37549974059266944</v>
      </c>
      <c r="B10">
        <v>0.84008301034577471</v>
      </c>
      <c r="C10">
        <v>0.75243385113071082</v>
      </c>
      <c r="D10" s="73">
        <v>0.20798364207892087</v>
      </c>
      <c r="E10">
        <v>0.43098239082003237</v>
      </c>
      <c r="F10">
        <v>0.99041718802453693</v>
      </c>
      <c r="G10">
        <v>0.13431196020386366</v>
      </c>
      <c r="H10">
        <v>0.21402630695516831</v>
      </c>
      <c r="I10">
        <v>6.4394054994354076E-3</v>
      </c>
      <c r="J10">
        <v>0.336741233558153</v>
      </c>
      <c r="K10">
        <v>0.31641590624713889</v>
      </c>
      <c r="L10">
        <v>0.68608661152989292</v>
      </c>
      <c r="M10">
        <v>0.49031037324137089</v>
      </c>
      <c r="N10" s="73">
        <v>0.31989501632740258</v>
      </c>
      <c r="O10">
        <v>0.65831476790673549</v>
      </c>
      <c r="P10">
        <v>0.99896237067781612</v>
      </c>
      <c r="Q10">
        <v>0.89724417859431749</v>
      </c>
      <c r="R10">
        <v>0.97839289529099394</v>
      </c>
      <c r="S10">
        <v>0.29709768974883266</v>
      </c>
      <c r="T10">
        <v>0.48405407879879148</v>
      </c>
      <c r="U10" s="118">
        <v>0.5050813318277535</v>
      </c>
      <c r="V10">
        <v>0.16269417401654104</v>
      </c>
      <c r="W10">
        <v>0.12894070253608814</v>
      </c>
      <c r="X10">
        <v>0.60960722678304391</v>
      </c>
      <c r="Y10" s="117">
        <v>0.93896298104800557</v>
      </c>
      <c r="Z10">
        <v>0.40809350871303446</v>
      </c>
      <c r="AA10">
        <v>0.81609546189764093</v>
      </c>
      <c r="AB10">
        <v>8.4780419324320205E-2</v>
      </c>
      <c r="AC10">
        <v>0.4838709677419355</v>
      </c>
      <c r="AD10">
        <v>0.12179937131870479</v>
      </c>
    </row>
    <row r="11" spans="1:30" x14ac:dyDescent="0.3">
      <c r="A11">
        <v>0.8503372295297098</v>
      </c>
      <c r="B11">
        <v>0.79396954252754293</v>
      </c>
      <c r="C11">
        <v>0.90713217566454052</v>
      </c>
      <c r="D11" s="73">
        <v>0.24073000274666587</v>
      </c>
      <c r="E11">
        <v>0.20456556901760917</v>
      </c>
      <c r="F11">
        <v>0.96725363933225506</v>
      </c>
      <c r="G11">
        <v>0.57164220099490337</v>
      </c>
      <c r="H11">
        <v>1.6296884060182502E-2</v>
      </c>
      <c r="I11">
        <v>0.60359508041627252</v>
      </c>
      <c r="J11">
        <v>0.49351481673635061</v>
      </c>
      <c r="K11">
        <v>0.12176885280922879</v>
      </c>
      <c r="L11">
        <v>8.2461012604144415E-2</v>
      </c>
      <c r="M11">
        <v>0.94479201635792109</v>
      </c>
      <c r="N11" s="73">
        <v>0.78246406445509198</v>
      </c>
      <c r="O11">
        <v>0.52238532670064397</v>
      </c>
      <c r="P11">
        <v>0.46314889980773338</v>
      </c>
      <c r="Q11">
        <v>0.90108951078829314</v>
      </c>
      <c r="R11">
        <v>8.1514938810388501E-2</v>
      </c>
      <c r="S11">
        <v>0.73277993102816863</v>
      </c>
      <c r="T11">
        <v>0.67537461470381788</v>
      </c>
      <c r="U11" s="118">
        <v>0.23630481887264626</v>
      </c>
      <c r="V11">
        <v>0.65425580614642775</v>
      </c>
      <c r="W11">
        <v>0.79671620838038271</v>
      </c>
      <c r="X11">
        <v>0.58433790093691829</v>
      </c>
      <c r="Y11" s="117">
        <v>0.86507766960661636</v>
      </c>
      <c r="Z11">
        <v>0.72627948850978119</v>
      </c>
      <c r="AA11">
        <v>0.62968840601825005</v>
      </c>
      <c r="AB11">
        <v>0.16684469130527665</v>
      </c>
      <c r="AC11">
        <v>0.18762779625843073</v>
      </c>
      <c r="AD11">
        <v>0.60496841334269236</v>
      </c>
    </row>
    <row r="12" spans="1:30" x14ac:dyDescent="0.3">
      <c r="A12">
        <v>0.28458510086367383</v>
      </c>
      <c r="B12">
        <v>0.83895382549516284</v>
      </c>
      <c r="C12">
        <v>0.73177282021546064</v>
      </c>
      <c r="D12" s="73">
        <v>0.87939085055085908</v>
      </c>
      <c r="E12">
        <v>0.97726371044038207</v>
      </c>
      <c r="F12">
        <v>0.50434888760032959</v>
      </c>
      <c r="G12">
        <v>0.63234351634266184</v>
      </c>
      <c r="H12">
        <v>0.10629596850489823</v>
      </c>
      <c r="I12">
        <v>0.65297402874843591</v>
      </c>
      <c r="J12">
        <v>0.98001037629322185</v>
      </c>
      <c r="K12">
        <v>0.98013245033112584</v>
      </c>
      <c r="L12">
        <v>0.88906521805475025</v>
      </c>
      <c r="M12">
        <v>0.37528611102633747</v>
      </c>
      <c r="N12" s="73">
        <v>0.95464949491866813</v>
      </c>
      <c r="O12">
        <v>0.57078768272957547</v>
      </c>
      <c r="P12">
        <v>0.7550889614551225</v>
      </c>
      <c r="Q12">
        <v>0.31836909085360271</v>
      </c>
      <c r="R12">
        <v>0.13675344096194342</v>
      </c>
      <c r="S12">
        <v>8.5818048646504108E-2</v>
      </c>
      <c r="T12">
        <v>0.73845637379070406</v>
      </c>
      <c r="U12" s="118">
        <v>0.64403210547196876</v>
      </c>
      <c r="V12">
        <v>0.74858851893673517</v>
      </c>
      <c r="W12">
        <v>0.23621326334421827</v>
      </c>
      <c r="X12">
        <v>7.4007385479293197E-2</v>
      </c>
      <c r="Y12" s="117">
        <v>4.4709616382335886E-2</v>
      </c>
      <c r="Z12">
        <v>2.1546067690054019E-2</v>
      </c>
      <c r="AA12">
        <v>0.90017395550401313</v>
      </c>
      <c r="AB12">
        <v>0.90881069368572043</v>
      </c>
      <c r="AC12">
        <v>0.23410748619037447</v>
      </c>
      <c r="AD12">
        <v>0.85052034058656578</v>
      </c>
    </row>
    <row r="13" spans="1:30" x14ac:dyDescent="0.3">
      <c r="A13">
        <v>0.78643147068697161</v>
      </c>
      <c r="B13">
        <v>0.43751335184789575</v>
      </c>
      <c r="C13">
        <v>0.16577654347361676</v>
      </c>
      <c r="D13" s="73">
        <v>0.26184881130405591</v>
      </c>
      <c r="E13">
        <v>0.65398113956114379</v>
      </c>
      <c r="F13">
        <v>0.36787011322367014</v>
      </c>
      <c r="G13">
        <v>0.2619098483230079</v>
      </c>
      <c r="H13">
        <v>0.85280922879726551</v>
      </c>
      <c r="I13">
        <v>0.619953001495407</v>
      </c>
      <c r="J13">
        <v>0.12247077852717674</v>
      </c>
      <c r="K13">
        <v>0.43299661244544818</v>
      </c>
      <c r="L13">
        <v>0.85735648670918907</v>
      </c>
      <c r="M13">
        <v>0.58644367809076203</v>
      </c>
      <c r="N13" s="73">
        <v>0.68312631611072117</v>
      </c>
      <c r="O13">
        <v>0.16959135715811641</v>
      </c>
      <c r="P13">
        <v>0.99548326059755243</v>
      </c>
      <c r="Q13">
        <v>0.31769768364513079</v>
      </c>
      <c r="R13">
        <v>0.48402356028931548</v>
      </c>
      <c r="S13">
        <v>0.48796044801171912</v>
      </c>
      <c r="T13">
        <v>0.76195562608722189</v>
      </c>
      <c r="U13" s="118">
        <v>0.19916379284035768</v>
      </c>
      <c r="V13">
        <v>0.26001770073549607</v>
      </c>
      <c r="W13">
        <v>1.0193182164983062E-2</v>
      </c>
      <c r="X13">
        <v>0.31058687093722342</v>
      </c>
      <c r="Y13" s="117">
        <v>0.20914334543900875</v>
      </c>
      <c r="Z13">
        <v>0.25626392406994841</v>
      </c>
      <c r="AA13">
        <v>0.96035645619067966</v>
      </c>
      <c r="AB13">
        <v>0.59080782494582962</v>
      </c>
      <c r="AC13">
        <v>0.13492233039338358</v>
      </c>
      <c r="AD13">
        <v>0.70531327249977116</v>
      </c>
    </row>
    <row r="14" spans="1:30" x14ac:dyDescent="0.3">
      <c r="A14">
        <v>0.35798211615344705</v>
      </c>
      <c r="B14">
        <v>0.8919339579454939</v>
      </c>
      <c r="C14">
        <v>0.56389049958800008</v>
      </c>
      <c r="D14">
        <v>0.97820978423413796</v>
      </c>
      <c r="E14">
        <v>0.19022186956389051</v>
      </c>
      <c r="F14">
        <v>0.4523758659627064</v>
      </c>
      <c r="G14">
        <v>0.68166142765587334</v>
      </c>
      <c r="H14">
        <v>0.31537827692495496</v>
      </c>
      <c r="I14">
        <v>0.84344004638813441</v>
      </c>
      <c r="J14">
        <v>0.28931546983245338</v>
      </c>
      <c r="K14">
        <v>0.40787987914670248</v>
      </c>
      <c r="L14">
        <v>0.54435865352336188</v>
      </c>
      <c r="M14">
        <v>0.57603686635944695</v>
      </c>
      <c r="N14">
        <v>0.90542313913388472</v>
      </c>
      <c r="O14">
        <v>0.90133365886410111</v>
      </c>
      <c r="P14">
        <v>0.68941312906277652</v>
      </c>
      <c r="Q14">
        <v>0.31348612933744319</v>
      </c>
      <c r="R14">
        <v>2.847376934110538E-2</v>
      </c>
      <c r="S14">
        <v>0.9651478621784112</v>
      </c>
      <c r="T14">
        <v>0.88067262794885093</v>
      </c>
      <c r="U14" s="118">
        <v>0.54701376384777367</v>
      </c>
      <c r="V14">
        <v>4.1016876735740226E-2</v>
      </c>
      <c r="W14">
        <v>0.3839228492080447</v>
      </c>
      <c r="X14">
        <v>0.46775719473860894</v>
      </c>
      <c r="Y14" s="117">
        <v>0.61668752098147528</v>
      </c>
      <c r="Z14">
        <v>0.25522629474776454</v>
      </c>
      <c r="AA14">
        <v>0.72377697073274938</v>
      </c>
      <c r="AB14">
        <v>0.74520096438489947</v>
      </c>
      <c r="AC14">
        <v>0.1609546189764092</v>
      </c>
      <c r="AD14">
        <v>0.68977935117648859</v>
      </c>
    </row>
    <row r="15" spans="1:30" x14ac:dyDescent="0.3">
      <c r="A15">
        <v>0.62620929593798635</v>
      </c>
      <c r="B15">
        <v>0.19513534958952605</v>
      </c>
      <c r="C15">
        <v>1.3214514603106785E-2</v>
      </c>
      <c r="D15">
        <v>0.50520340586565748</v>
      </c>
      <c r="E15">
        <v>0.12765892513809626</v>
      </c>
      <c r="F15">
        <v>0.65398113956114379</v>
      </c>
      <c r="G15">
        <v>0.32688375499740591</v>
      </c>
      <c r="H15">
        <v>0.75347148045289469</v>
      </c>
      <c r="I15">
        <v>3.5706656086916713E-2</v>
      </c>
      <c r="J15">
        <v>0.30906094546342355</v>
      </c>
      <c r="K15">
        <v>0.21030304879909664</v>
      </c>
      <c r="L15">
        <v>0.59831537827692494</v>
      </c>
      <c r="M15">
        <v>0.8928800317392499</v>
      </c>
      <c r="N15">
        <v>0.93173009430219433</v>
      </c>
      <c r="O15">
        <v>0.65263832514419995</v>
      </c>
      <c r="P15">
        <v>0.66252632221442309</v>
      </c>
      <c r="Q15">
        <v>0.55977050080874047</v>
      </c>
      <c r="R15">
        <v>0.25290688802758871</v>
      </c>
      <c r="S15">
        <v>2.2095400860621967E-2</v>
      </c>
      <c r="T15">
        <v>0.65837580492568748</v>
      </c>
      <c r="U15" s="118">
        <v>0.94882045960875272</v>
      </c>
      <c r="V15">
        <v>0.88766136661885431</v>
      </c>
      <c r="W15">
        <v>0.91760002441480759</v>
      </c>
      <c r="X15">
        <v>0.95773186437574387</v>
      </c>
      <c r="Y15" s="117">
        <v>0.93914609210486155</v>
      </c>
      <c r="Z15">
        <v>0.71443830683309428</v>
      </c>
      <c r="AA15">
        <v>0.65511032441175576</v>
      </c>
      <c r="AB15">
        <v>0.25748466444898832</v>
      </c>
      <c r="AC15">
        <v>4.8524430066835536E-3</v>
      </c>
      <c r="AD15">
        <v>0.1162450025940733</v>
      </c>
    </row>
    <row r="16" spans="1:30" x14ac:dyDescent="0.3">
      <c r="A16">
        <v>0.17026276436658833</v>
      </c>
      <c r="B16">
        <v>0.9974059266945402</v>
      </c>
      <c r="C16">
        <v>0.58711508529923395</v>
      </c>
      <c r="D16">
        <v>0.988891262550737</v>
      </c>
      <c r="E16">
        <v>0.61806085390789511</v>
      </c>
      <c r="F16">
        <v>0.68572038941618096</v>
      </c>
      <c r="G16">
        <v>0.74175237281411177</v>
      </c>
      <c r="H16">
        <v>0.92315439313943903</v>
      </c>
      <c r="I16">
        <v>0.45100253303628651</v>
      </c>
      <c r="J16">
        <v>0.78945280312509536</v>
      </c>
      <c r="K16">
        <v>9.3417157506027401E-2</v>
      </c>
      <c r="L16">
        <v>0.46729941709646899</v>
      </c>
      <c r="M16">
        <v>0.25727103488265635</v>
      </c>
      <c r="N16">
        <v>0.34543900875881223</v>
      </c>
      <c r="O16">
        <v>0.62788781395916626</v>
      </c>
      <c r="P16">
        <v>0.87566759239478742</v>
      </c>
      <c r="Q16">
        <v>0.13962218085268716</v>
      </c>
      <c r="R16">
        <v>0.94827112643818479</v>
      </c>
      <c r="S16">
        <v>0.35303811761833553</v>
      </c>
      <c r="T16">
        <v>0.24985503707998902</v>
      </c>
      <c r="U16" s="118">
        <v>0.91680654316843169</v>
      </c>
      <c r="V16">
        <v>0.27115695669423506</v>
      </c>
      <c r="W16">
        <v>0.36078981902523882</v>
      </c>
      <c r="X16">
        <v>0.47883541367839594</v>
      </c>
      <c r="Y16" s="117">
        <v>0.92812891018402666</v>
      </c>
      <c r="Z16">
        <v>0.77687917722098454</v>
      </c>
      <c r="AA16">
        <v>0.32016968291268655</v>
      </c>
      <c r="AB16">
        <v>0.88415173802911462</v>
      </c>
      <c r="AC16">
        <v>0.72341074861903742</v>
      </c>
      <c r="AD16">
        <v>0.77373577074495681</v>
      </c>
    </row>
    <row r="17" spans="1:30" x14ac:dyDescent="0.3">
      <c r="A17">
        <v>0.93359172338023011</v>
      </c>
      <c r="B17">
        <v>0.9761650440992462</v>
      </c>
      <c r="C17">
        <v>0.41819513534958952</v>
      </c>
      <c r="D17">
        <v>0.47392193365276042</v>
      </c>
      <c r="E17">
        <v>0.38709677419354838</v>
      </c>
      <c r="F17">
        <v>0.22837000640888699</v>
      </c>
      <c r="G17">
        <v>0.99694814905240026</v>
      </c>
      <c r="H17">
        <v>0.21005890072328867</v>
      </c>
      <c r="I17">
        <v>0.32621234778893399</v>
      </c>
      <c r="J17">
        <v>0.27515488143559069</v>
      </c>
      <c r="K17">
        <v>0.34409619434186833</v>
      </c>
      <c r="L17">
        <v>0.46580401013214512</v>
      </c>
      <c r="M17">
        <v>0.3881649220252083</v>
      </c>
      <c r="N17">
        <v>0.43974120303964354</v>
      </c>
      <c r="O17">
        <v>0.28540910061952574</v>
      </c>
      <c r="P17">
        <v>0.87765129551072729</v>
      </c>
      <c r="Q17">
        <v>0.82213812677388831</v>
      </c>
      <c r="R17">
        <v>0.99847407452620018</v>
      </c>
      <c r="S17">
        <v>0.42005676442762535</v>
      </c>
      <c r="T17">
        <v>0.86346018860438856</v>
      </c>
      <c r="U17" s="118">
        <v>0.22861415448469496</v>
      </c>
      <c r="V17">
        <v>8.7679677724539939E-2</v>
      </c>
      <c r="W17">
        <v>2.5055696279793694E-2</v>
      </c>
      <c r="X17">
        <v>3.4028138065736867E-2</v>
      </c>
      <c r="Y17" s="117">
        <v>0.94940031128879665</v>
      </c>
      <c r="Z17">
        <v>0.65941343424787136</v>
      </c>
      <c r="AA17">
        <v>0.81322672200689716</v>
      </c>
      <c r="AB17">
        <v>4.4587542344431901E-2</v>
      </c>
      <c r="AC17">
        <v>0.13855403302102726</v>
      </c>
      <c r="AD17">
        <v>0.39210180974761194</v>
      </c>
    </row>
    <row r="18" spans="1:30" x14ac:dyDescent="0.3">
      <c r="A18">
        <v>0.82570879238257999</v>
      </c>
      <c r="B18">
        <v>4.1413617358928193E-2</v>
      </c>
      <c r="C18">
        <v>4.7212134159367654E-2</v>
      </c>
      <c r="D18">
        <v>0.96279793694875937</v>
      </c>
      <c r="E18">
        <v>0.24094363231299784</v>
      </c>
      <c r="F18">
        <v>0.36078981902523882</v>
      </c>
      <c r="G18">
        <v>0.55174413281655321</v>
      </c>
      <c r="H18">
        <v>0.586718344676046</v>
      </c>
      <c r="I18">
        <v>0.38059633167516099</v>
      </c>
      <c r="J18">
        <v>0.63612781151768549</v>
      </c>
      <c r="K18">
        <v>0.45756401257362589</v>
      </c>
      <c r="L18">
        <v>0.23081148716696676</v>
      </c>
      <c r="M18">
        <v>0.6938993499557482</v>
      </c>
      <c r="N18">
        <v>0.96929837946714681</v>
      </c>
      <c r="O18">
        <v>0.6096682638019959</v>
      </c>
      <c r="P18">
        <v>0.40733054597613455</v>
      </c>
      <c r="Q18">
        <v>1.9531846064638203E-3</v>
      </c>
      <c r="R18">
        <v>0.32306894131290625</v>
      </c>
      <c r="S18">
        <v>0.34110538041322064</v>
      </c>
      <c r="T18">
        <v>0.95373393963438824</v>
      </c>
      <c r="U18" s="118">
        <v>0.78325754570146799</v>
      </c>
      <c r="V18">
        <v>0.79018524735251927</v>
      </c>
      <c r="W18">
        <v>0.29032258064516131</v>
      </c>
      <c r="X18">
        <v>0.70513016144291518</v>
      </c>
      <c r="Y18" s="117">
        <v>0.78084658345286417</v>
      </c>
      <c r="Z18">
        <v>0.89556566057313758</v>
      </c>
      <c r="AA18">
        <v>0.11908322397534105</v>
      </c>
      <c r="AB18">
        <v>0.46565141758476514</v>
      </c>
      <c r="AC18">
        <v>0.71370586260567037</v>
      </c>
      <c r="AD18">
        <v>0.58836634418774991</v>
      </c>
    </row>
    <row r="19" spans="1:30" x14ac:dyDescent="0.3">
      <c r="A19">
        <v>0.16214484084597308</v>
      </c>
      <c r="B19">
        <v>0.18485061189611499</v>
      </c>
      <c r="C19">
        <v>0.37238685262611776</v>
      </c>
      <c r="D19">
        <v>7.9439680166020696E-2</v>
      </c>
      <c r="E19">
        <v>0.53947569200720236</v>
      </c>
      <c r="F19">
        <v>0.74538407544175544</v>
      </c>
      <c r="G19">
        <v>0.88094729453413501</v>
      </c>
      <c r="H19">
        <v>0.18073061311685537</v>
      </c>
      <c r="I19">
        <v>0.76299325540940577</v>
      </c>
      <c r="J19">
        <v>0.2682576982940153</v>
      </c>
      <c r="K19">
        <v>0.40598773155919066</v>
      </c>
      <c r="L19">
        <v>0.30298776207770012</v>
      </c>
      <c r="M19">
        <v>0.36838892788476213</v>
      </c>
      <c r="N19">
        <v>0.34208197271645252</v>
      </c>
      <c r="O19">
        <v>9.4363231299783315E-2</v>
      </c>
      <c r="P19">
        <v>0.76796777245399339</v>
      </c>
      <c r="Q19">
        <v>0.60386974700155649</v>
      </c>
      <c r="R19">
        <v>8.2216864528336431E-2</v>
      </c>
      <c r="S19">
        <v>0.52046266060365609</v>
      </c>
      <c r="T19">
        <v>0.59120456556901757</v>
      </c>
      <c r="U19" s="118">
        <v>0.70656453138828701</v>
      </c>
      <c r="V19">
        <v>0.42625202185125277</v>
      </c>
      <c r="W19">
        <v>0.4247260963774529</v>
      </c>
      <c r="X19">
        <v>0.39176610614337598</v>
      </c>
      <c r="Y19" s="117">
        <v>0.79812005981627854</v>
      </c>
      <c r="Z19">
        <v>0.57216101565599531</v>
      </c>
      <c r="AA19">
        <v>2.414014099551378E-2</v>
      </c>
      <c r="AB19">
        <v>0.58540604876857816</v>
      </c>
      <c r="AC19">
        <v>0.93078402050843834</v>
      </c>
      <c r="AD19">
        <v>0.96526993621631518</v>
      </c>
    </row>
    <row r="20" spans="1:30" x14ac:dyDescent="0.3">
      <c r="A20">
        <v>0.67674794763023771</v>
      </c>
      <c r="B20">
        <v>0.51676992095706042</v>
      </c>
      <c r="C20">
        <v>0.315012054811243</v>
      </c>
      <c r="D20">
        <v>0.74022644734031184</v>
      </c>
      <c r="E20">
        <v>0.18015076143681141</v>
      </c>
      <c r="F20">
        <v>0.68782616657002471</v>
      </c>
      <c r="G20">
        <v>0.26010925626392406</v>
      </c>
      <c r="H20">
        <v>2.4323252052369761E-2</v>
      </c>
      <c r="I20">
        <v>0.48686178167058319</v>
      </c>
      <c r="J20">
        <v>0.73766289254432815</v>
      </c>
      <c r="K20">
        <v>0.85891293069246499</v>
      </c>
      <c r="L20">
        <v>8.5757011627552119E-3</v>
      </c>
      <c r="M20">
        <v>0.11633655812250129</v>
      </c>
      <c r="N20">
        <v>0.33103427228614152</v>
      </c>
      <c r="O20">
        <v>0.94763023773918886</v>
      </c>
      <c r="P20">
        <v>0.19223609118930632</v>
      </c>
      <c r="Q20">
        <v>4.5777764213995792E-2</v>
      </c>
      <c r="R20">
        <v>0.61107211523789173</v>
      </c>
      <c r="S20">
        <v>0.37296670430616169</v>
      </c>
      <c r="T20">
        <v>0.70781579027680286</v>
      </c>
      <c r="U20" s="118">
        <v>0.36069826349681083</v>
      </c>
      <c r="V20">
        <v>0.37263100070192573</v>
      </c>
      <c r="W20">
        <v>9.6438489944151135E-2</v>
      </c>
      <c r="X20">
        <v>0.13208410901211584</v>
      </c>
      <c r="Y20" s="117">
        <v>0.44630268257698297</v>
      </c>
      <c r="Z20">
        <v>0.61281167027802363</v>
      </c>
      <c r="AA20">
        <v>0.16824854274117251</v>
      </c>
      <c r="AB20">
        <v>0.69002349925229656</v>
      </c>
      <c r="AC20">
        <v>1.3733329264198737E-3</v>
      </c>
      <c r="AD20">
        <v>0.61455122531815543</v>
      </c>
    </row>
    <row r="21" spans="1:30" x14ac:dyDescent="0.3">
      <c r="A21">
        <v>0.10138248847926268</v>
      </c>
      <c r="B21">
        <v>0.25708792382580037</v>
      </c>
      <c r="C21">
        <v>0.65569017609179969</v>
      </c>
      <c r="D21">
        <v>0.21970274971770379</v>
      </c>
      <c r="E21">
        <v>0.67744987334818563</v>
      </c>
      <c r="F21">
        <v>6.7171239356669826E-2</v>
      </c>
      <c r="G21">
        <v>0.47184667500839261</v>
      </c>
      <c r="H21">
        <v>0.44779808954130679</v>
      </c>
      <c r="I21">
        <v>0.71532334360789818</v>
      </c>
      <c r="J21">
        <v>0.53138828699606311</v>
      </c>
      <c r="K21">
        <v>0.11362041077913755</v>
      </c>
      <c r="L21">
        <v>0.11676381725516526</v>
      </c>
      <c r="M21">
        <v>0.83391827143162323</v>
      </c>
      <c r="N21">
        <v>7.4556718649861145E-2</v>
      </c>
      <c r="O21">
        <v>0.96108890041810358</v>
      </c>
      <c r="P21">
        <v>0.62187566759239477</v>
      </c>
      <c r="Q21">
        <v>0.74047059541611993</v>
      </c>
      <c r="R21">
        <v>0.39579454939420761</v>
      </c>
      <c r="S21">
        <v>0.95468001342814413</v>
      </c>
      <c r="T21">
        <v>0.52912991729483927</v>
      </c>
      <c r="U21" s="118">
        <v>7.5411236915189056E-2</v>
      </c>
      <c r="V21">
        <v>5.8748130741294598E-2</v>
      </c>
      <c r="W21">
        <v>0.44868312631611074</v>
      </c>
      <c r="X21">
        <v>0.13931699575792719</v>
      </c>
      <c r="Y21" s="117">
        <v>0.34501174962614828</v>
      </c>
      <c r="Z21">
        <v>0.81859797967467274</v>
      </c>
      <c r="AA21">
        <v>0.85604419080172123</v>
      </c>
      <c r="AB21">
        <v>0.67912839136936554</v>
      </c>
      <c r="AC21">
        <v>0.97329630420850244</v>
      </c>
      <c r="AD21">
        <v>0.59114352855006558</v>
      </c>
    </row>
    <row r="22" spans="1:30" x14ac:dyDescent="0.3">
      <c r="A22">
        <v>0.36509292886135442</v>
      </c>
      <c r="B22">
        <v>0.27527695547349468</v>
      </c>
      <c r="C22">
        <v>4.2725913266396069E-3</v>
      </c>
      <c r="D22">
        <v>0.47126682332834863</v>
      </c>
      <c r="E22">
        <v>0.51017792291024511</v>
      </c>
      <c r="F22">
        <v>0.36832789086581014</v>
      </c>
      <c r="G22">
        <v>0.48606830042420729</v>
      </c>
      <c r="H22">
        <v>0.70610675374614706</v>
      </c>
      <c r="I22">
        <v>0.87670522171697129</v>
      </c>
      <c r="J22">
        <v>0.72200689718314159</v>
      </c>
      <c r="K22">
        <v>6.7354350413525804E-2</v>
      </c>
      <c r="L22">
        <v>2.945036164433729E-2</v>
      </c>
      <c r="M22">
        <v>0.72243415631580554</v>
      </c>
      <c r="N22">
        <v>0.68456068605609299</v>
      </c>
      <c r="O22">
        <v>0.83861812189092688</v>
      </c>
      <c r="P22">
        <v>0.26425977355265967</v>
      </c>
      <c r="Q22">
        <v>0.79598376415295879</v>
      </c>
      <c r="R22">
        <v>0.85839411603137306</v>
      </c>
      <c r="S22">
        <v>0.94833216345713678</v>
      </c>
      <c r="T22">
        <v>0.59846797082430492</v>
      </c>
      <c r="U22">
        <v>0.1337015900143437</v>
      </c>
      <c r="V22">
        <v>0.83391827143162323</v>
      </c>
      <c r="W22">
        <v>2.5879696035645619E-2</v>
      </c>
      <c r="X22">
        <v>0.44096194341868344</v>
      </c>
      <c r="Y22">
        <v>0.11670278023621326</v>
      </c>
      <c r="Z22">
        <v>0.14444410534989471</v>
      </c>
      <c r="AA22">
        <v>0.94271675771355323</v>
      </c>
      <c r="AB22">
        <v>0.26425977355265967</v>
      </c>
      <c r="AC22">
        <v>0.56825464644306767</v>
      </c>
      <c r="AD22">
        <v>9.7811822870570997E-2</v>
      </c>
    </row>
    <row r="23" spans="1:30" x14ac:dyDescent="0.3">
      <c r="A23">
        <v>0.94192327646717733</v>
      </c>
      <c r="B23">
        <v>0.3392742698446608</v>
      </c>
      <c r="C23">
        <v>0.17410809656056397</v>
      </c>
      <c r="D23">
        <v>0.64107181005279701</v>
      </c>
      <c r="E23">
        <v>0.66899624622333442</v>
      </c>
      <c r="F23">
        <v>0.76918851283303324</v>
      </c>
      <c r="G23">
        <v>6.0121463667714469E-3</v>
      </c>
      <c r="H23">
        <v>0.91503646961882379</v>
      </c>
      <c r="I23">
        <v>0.13364055299539171</v>
      </c>
      <c r="J23">
        <v>0.72841578417310093</v>
      </c>
      <c r="K23">
        <v>0.43000579851680043</v>
      </c>
      <c r="L23">
        <v>0.65419476912747576</v>
      </c>
      <c r="M23">
        <v>0.13486129337443159</v>
      </c>
      <c r="N23">
        <v>0.31272316660054322</v>
      </c>
      <c r="O23">
        <v>0.18066957609790338</v>
      </c>
      <c r="P23">
        <v>8.8717307046723842E-2</v>
      </c>
      <c r="Q23">
        <v>0.17993713187047944</v>
      </c>
      <c r="R23">
        <v>0.90710165715506452</v>
      </c>
      <c r="S23">
        <v>0.88293099765007477</v>
      </c>
      <c r="T23">
        <v>0.50462355418561355</v>
      </c>
      <c r="U23">
        <v>0.42881557664723657</v>
      </c>
      <c r="V23">
        <v>0.47727896969512007</v>
      </c>
      <c r="W23">
        <v>0.80196539201025419</v>
      </c>
      <c r="X23">
        <v>0.11841181676686911</v>
      </c>
      <c r="Y23">
        <v>0.69536423841059603</v>
      </c>
      <c r="Z23">
        <v>0.69161046174504837</v>
      </c>
      <c r="AA23">
        <v>0.1032441175572985</v>
      </c>
      <c r="AB23">
        <v>0.42246772667622912</v>
      </c>
      <c r="AC23">
        <v>3.6255989257484668E-2</v>
      </c>
      <c r="AD23">
        <v>0.27896969512009034</v>
      </c>
    </row>
    <row r="24" spans="1:30" x14ac:dyDescent="0.3">
      <c r="A24">
        <v>0.4034852137821589</v>
      </c>
      <c r="B24">
        <v>0.65718558305612351</v>
      </c>
      <c r="C24">
        <v>0.9592272713400678</v>
      </c>
      <c r="D24">
        <v>0.52937406537064735</v>
      </c>
      <c r="E24">
        <v>0.89358195745719782</v>
      </c>
      <c r="F24">
        <v>0.56663716544083986</v>
      </c>
      <c r="G24">
        <v>0.78130436109500412</v>
      </c>
      <c r="H24">
        <v>0.34345530564287241</v>
      </c>
      <c r="I24">
        <v>0.81545457319864501</v>
      </c>
      <c r="J24">
        <v>9.3417157506027401E-2</v>
      </c>
      <c r="K24">
        <v>0.16928617206335642</v>
      </c>
      <c r="L24">
        <v>0.73696096682638024</v>
      </c>
      <c r="M24">
        <v>0.57350383007293926</v>
      </c>
      <c r="N24">
        <v>0.1694082461012604</v>
      </c>
      <c r="O24">
        <v>0.39274269844660786</v>
      </c>
      <c r="P24">
        <v>0.206610309152501</v>
      </c>
      <c r="Q24">
        <v>0.26209295937986388</v>
      </c>
      <c r="R24">
        <v>0.25818659016693624</v>
      </c>
      <c r="S24">
        <v>0.32099368266853845</v>
      </c>
      <c r="T24">
        <v>0.86355174413281655</v>
      </c>
      <c r="U24">
        <v>0.89019440290536211</v>
      </c>
      <c r="V24">
        <v>0.80602435377056181</v>
      </c>
      <c r="W24">
        <v>0.69591357158116396</v>
      </c>
      <c r="X24">
        <v>0.74047059541611993</v>
      </c>
      <c r="Y24">
        <v>8.4597308267464214E-2</v>
      </c>
      <c r="Z24">
        <v>0.25693533127842039</v>
      </c>
      <c r="AA24">
        <v>0.71102023377178258</v>
      </c>
      <c r="AB24">
        <v>0.17908261360515151</v>
      </c>
      <c r="AC24">
        <v>0.55314798425244915</v>
      </c>
      <c r="AD24">
        <v>0.78899502548295541</v>
      </c>
    </row>
    <row r="25" spans="1:30" x14ac:dyDescent="0.3">
      <c r="A25">
        <v>0.42869350260933253</v>
      </c>
      <c r="B25">
        <v>0.70375682851649524</v>
      </c>
      <c r="C25">
        <v>8.853419598986785E-2</v>
      </c>
      <c r="D25">
        <v>0.42680135502182076</v>
      </c>
      <c r="E25">
        <v>6.6377758110293894E-2</v>
      </c>
      <c r="F25">
        <v>0.28766747032074952</v>
      </c>
      <c r="G25">
        <v>0.39475692007202368</v>
      </c>
      <c r="H25">
        <v>0.68797875911740469</v>
      </c>
      <c r="I25">
        <v>0.68321787163914915</v>
      </c>
      <c r="J25">
        <v>0.41795098727378155</v>
      </c>
      <c r="K25">
        <v>0.51670888393810843</v>
      </c>
      <c r="L25">
        <v>0.41846980193487349</v>
      </c>
      <c r="M25">
        <v>0.29831843012787257</v>
      </c>
      <c r="N25">
        <v>0.86577959532456439</v>
      </c>
      <c r="O25">
        <v>0.15503402813806574</v>
      </c>
      <c r="P25">
        <v>0.97399822992645035</v>
      </c>
      <c r="Q25">
        <v>0.97207556382946259</v>
      </c>
      <c r="R25">
        <v>0.56785790581987972</v>
      </c>
      <c r="S25">
        <v>0.64659566026795257</v>
      </c>
      <c r="T25">
        <v>0.40318002868739888</v>
      </c>
      <c r="U25">
        <v>0.88119144260994298</v>
      </c>
      <c r="V25">
        <v>0.5255287331766717</v>
      </c>
      <c r="W25">
        <v>0.89220862453077787</v>
      </c>
      <c r="X25">
        <v>0.7891170995208594</v>
      </c>
      <c r="Y25">
        <v>0.91976683858760333</v>
      </c>
      <c r="Z25">
        <v>0.12753685110019228</v>
      </c>
      <c r="AA25">
        <v>1.3153477584154791E-2</v>
      </c>
      <c r="AB25">
        <v>0.40501113925595872</v>
      </c>
      <c r="AC25">
        <v>0.85631885738700519</v>
      </c>
      <c r="AD25">
        <v>0.80306405835139016</v>
      </c>
    </row>
    <row r="26" spans="1:30" x14ac:dyDescent="0.3">
      <c r="A26">
        <v>1.7395550401318401E-2</v>
      </c>
      <c r="B26">
        <v>0.8409985656300546</v>
      </c>
      <c r="C26">
        <v>0.57921079134495068</v>
      </c>
      <c r="D26">
        <v>0.41093173009430217</v>
      </c>
      <c r="E26">
        <v>0.25650807214575638</v>
      </c>
      <c r="F26">
        <v>0.75756096072267831</v>
      </c>
      <c r="G26">
        <v>0.46098208563493759</v>
      </c>
      <c r="H26">
        <v>0.27161473433637501</v>
      </c>
      <c r="I26">
        <v>0.95529038361766416</v>
      </c>
      <c r="J26">
        <v>0.42231513412884913</v>
      </c>
      <c r="K26">
        <v>0.37305825983458968</v>
      </c>
      <c r="L26">
        <v>0.24777977843562121</v>
      </c>
      <c r="M26">
        <v>0.59450056459242528</v>
      </c>
      <c r="N26">
        <v>0.6862392040772729</v>
      </c>
      <c r="O26">
        <v>0.38230536820581684</v>
      </c>
      <c r="P26">
        <v>0.78014465773491626</v>
      </c>
      <c r="Q26">
        <v>0.42881557664723657</v>
      </c>
      <c r="R26">
        <v>0.55543687246314888</v>
      </c>
      <c r="S26">
        <v>0.66014587847529527</v>
      </c>
      <c r="T26">
        <v>0.28437147129734186</v>
      </c>
      <c r="U26">
        <v>0.92034669026764737</v>
      </c>
      <c r="V26">
        <v>1.5167699209570605E-2</v>
      </c>
      <c r="W26">
        <v>0.63612781151768549</v>
      </c>
      <c r="X26">
        <v>0.81615649891659292</v>
      </c>
      <c r="Y26">
        <v>0.36967070528275398</v>
      </c>
      <c r="Z26">
        <v>0.26181829279457991</v>
      </c>
      <c r="AA26">
        <v>0.92678609576708271</v>
      </c>
      <c r="AB26">
        <v>0.40925321207312237</v>
      </c>
      <c r="AC26">
        <v>0.52537614062929161</v>
      </c>
      <c r="AD26">
        <v>0.99935911130100408</v>
      </c>
    </row>
    <row r="27" spans="1:30" x14ac:dyDescent="0.3">
      <c r="A27">
        <v>7.0925016022217471E-2</v>
      </c>
      <c r="B27">
        <v>0.99441511276589256</v>
      </c>
      <c r="C27">
        <v>0.4532609027375103</v>
      </c>
      <c r="D27">
        <v>0.956602679525132</v>
      </c>
      <c r="E27">
        <v>0.60328989532151245</v>
      </c>
      <c r="F27">
        <v>0.30408642841883604</v>
      </c>
      <c r="G27">
        <v>0.44666890469069492</v>
      </c>
      <c r="H27">
        <v>0.2814416943876461</v>
      </c>
      <c r="I27">
        <v>0.49674977874080628</v>
      </c>
      <c r="J27">
        <v>0.66997283852656642</v>
      </c>
      <c r="K27">
        <v>0.2589495529038362</v>
      </c>
      <c r="L27">
        <v>0.96816919461653494</v>
      </c>
      <c r="M27">
        <v>0.50538651692251346</v>
      </c>
      <c r="N27">
        <v>0.11938840907010102</v>
      </c>
      <c r="O27">
        <v>0.43964964751121555</v>
      </c>
      <c r="P27">
        <v>0.97415082247383034</v>
      </c>
      <c r="Q27">
        <v>0.43903927732169562</v>
      </c>
      <c r="R27">
        <v>0.67653431806390574</v>
      </c>
      <c r="S27">
        <v>5.5146946623126927E-2</v>
      </c>
      <c r="T27">
        <v>0.18256172368541521</v>
      </c>
      <c r="U27">
        <v>0.90063173314615319</v>
      </c>
      <c r="V27">
        <v>0.27533799249244667</v>
      </c>
      <c r="W27">
        <v>0.57579271828363898</v>
      </c>
      <c r="X27">
        <v>0.86684774315622426</v>
      </c>
      <c r="Y27">
        <v>0.51771599475081642</v>
      </c>
      <c r="Z27">
        <v>0.18970305490279854</v>
      </c>
      <c r="AA27">
        <v>0.20957060457167273</v>
      </c>
      <c r="AB27">
        <v>0.81322672200689716</v>
      </c>
      <c r="AC27">
        <v>0.19959105197302163</v>
      </c>
      <c r="AD27">
        <v>0.38761558885464031</v>
      </c>
    </row>
    <row r="28" spans="1:30" x14ac:dyDescent="0.3">
      <c r="A28">
        <v>0.46525467696157718</v>
      </c>
      <c r="B28">
        <v>0.75798821985534226</v>
      </c>
      <c r="C28">
        <v>0.45081942197943053</v>
      </c>
      <c r="D28">
        <v>0.71535386211737417</v>
      </c>
      <c r="E28">
        <v>0.22428052613910338</v>
      </c>
      <c r="F28">
        <v>0.29526657918027283</v>
      </c>
      <c r="G28">
        <v>0.27262184514908294</v>
      </c>
      <c r="H28">
        <v>0.31800286873989075</v>
      </c>
      <c r="I28">
        <v>0.10455641346476638</v>
      </c>
      <c r="J28">
        <v>0.91189306314279606</v>
      </c>
      <c r="K28">
        <v>0.6836756492812891</v>
      </c>
      <c r="L28">
        <v>0.20267342143009737</v>
      </c>
      <c r="M28">
        <v>0.39591662343211159</v>
      </c>
      <c r="N28">
        <v>0.30521561326944791</v>
      </c>
      <c r="O28">
        <v>0.39097262489700002</v>
      </c>
      <c r="P28">
        <v>0.35032197027497175</v>
      </c>
      <c r="Q28">
        <v>0.34928434095278788</v>
      </c>
      <c r="R28">
        <v>0.64082766197698904</v>
      </c>
      <c r="S28">
        <v>0.64265877254554893</v>
      </c>
      <c r="T28">
        <v>0.28281502731406599</v>
      </c>
      <c r="U28">
        <v>0.10080263679921872</v>
      </c>
      <c r="V28">
        <v>0.90545365764336072</v>
      </c>
      <c r="W28">
        <v>0.793359172338023</v>
      </c>
      <c r="X28">
        <v>0.49122592852565083</v>
      </c>
      <c r="Y28">
        <v>1.1597033600878933E-2</v>
      </c>
      <c r="Z28">
        <v>1.2146366771446883E-2</v>
      </c>
      <c r="AA28">
        <v>0.61406292916653948</v>
      </c>
      <c r="AB28">
        <v>0.6318552201910459</v>
      </c>
      <c r="AC28">
        <v>0.70516067995239118</v>
      </c>
      <c r="AD28">
        <v>0.8137150181585131</v>
      </c>
    </row>
    <row r="29" spans="1:30" x14ac:dyDescent="0.3">
      <c r="A29">
        <v>0.87719351786858735</v>
      </c>
      <c r="B29">
        <v>0.89587084566789754</v>
      </c>
      <c r="C29">
        <v>0.58302560502945033</v>
      </c>
      <c r="D29">
        <v>0.6802270577105014</v>
      </c>
      <c r="E29">
        <v>0.24817651905880916</v>
      </c>
      <c r="F29">
        <v>0.45921201208532975</v>
      </c>
      <c r="G29">
        <v>0.10022278511917478</v>
      </c>
      <c r="H29">
        <v>0.79769280068361459</v>
      </c>
      <c r="I29">
        <v>1.52287362285226E-2</v>
      </c>
      <c r="J29">
        <v>0.41874446852015745</v>
      </c>
      <c r="K29">
        <v>0.58204901272621845</v>
      </c>
      <c r="L29">
        <v>0.84340952787865842</v>
      </c>
      <c r="M29">
        <v>0.68807031464583268</v>
      </c>
      <c r="N29">
        <v>0.12094485305337688</v>
      </c>
      <c r="O29">
        <v>0.86248359630115667</v>
      </c>
      <c r="P29">
        <v>0.1945249794000061</v>
      </c>
      <c r="Q29">
        <v>0.99688711203344826</v>
      </c>
      <c r="R29">
        <v>0.28952909939878535</v>
      </c>
      <c r="S29">
        <v>0.52681051057466355</v>
      </c>
      <c r="T29">
        <v>0.32621234778893399</v>
      </c>
      <c r="U29">
        <v>0.32340464491714227</v>
      </c>
      <c r="V29">
        <v>0.8579973754081851</v>
      </c>
      <c r="W29">
        <v>3.8575395977660451E-2</v>
      </c>
      <c r="X29">
        <v>0.55537583544419689</v>
      </c>
      <c r="Y29">
        <v>9.4393749809259311E-2</v>
      </c>
      <c r="Z29">
        <v>0.91372417371135595</v>
      </c>
      <c r="AA29">
        <v>0.53273110141300695</v>
      </c>
      <c r="AB29">
        <v>0.78633991515854362</v>
      </c>
      <c r="AC29">
        <v>0.16959135715811641</v>
      </c>
      <c r="AD29">
        <v>0.65941343424787136</v>
      </c>
    </row>
    <row r="30" spans="1:30" x14ac:dyDescent="0.3">
      <c r="A30">
        <v>0.55586413159581283</v>
      </c>
      <c r="B30">
        <v>0.41486861781670581</v>
      </c>
      <c r="C30">
        <v>0.75472273934141054</v>
      </c>
      <c r="D30">
        <v>0.79854731894894249</v>
      </c>
      <c r="E30">
        <v>0.53517258217108676</v>
      </c>
      <c r="F30">
        <v>4.6510208441419724E-2</v>
      </c>
      <c r="G30">
        <v>0.87148655659657581</v>
      </c>
      <c r="H30">
        <v>0.25074007385479291</v>
      </c>
      <c r="I30">
        <v>0.25714896084475236</v>
      </c>
      <c r="J30">
        <v>0.18573564867091891</v>
      </c>
      <c r="K30">
        <v>0.91540269173253574</v>
      </c>
      <c r="L30">
        <v>0.60368663594470051</v>
      </c>
      <c r="M30">
        <v>0.13711966307565537</v>
      </c>
      <c r="N30">
        <v>0.5518051698355052</v>
      </c>
      <c r="O30">
        <v>0.33237708670308541</v>
      </c>
      <c r="P30">
        <v>0.20728171636097292</v>
      </c>
      <c r="Q30">
        <v>0.56120487075411241</v>
      </c>
      <c r="R30">
        <v>0.17825861384929961</v>
      </c>
      <c r="S30">
        <v>0.9463789788506729</v>
      </c>
      <c r="T30">
        <v>0.31705679494613481</v>
      </c>
      <c r="U30">
        <v>8.1789605395672482E-2</v>
      </c>
      <c r="V30">
        <v>0.95141453291421252</v>
      </c>
      <c r="W30">
        <v>0.96792504654072697</v>
      </c>
      <c r="X30">
        <v>0.19232764671773431</v>
      </c>
      <c r="Y30">
        <v>0.74770348216193117</v>
      </c>
      <c r="Z30">
        <v>0.74486526078066351</v>
      </c>
      <c r="AA30">
        <v>0.2161931211279641</v>
      </c>
      <c r="AB30">
        <v>0.55571153904843285</v>
      </c>
      <c r="AC30">
        <v>0.35035248878444775</v>
      </c>
      <c r="AD30">
        <v>0.80581072420422983</v>
      </c>
    </row>
    <row r="31" spans="1:30" x14ac:dyDescent="0.3">
      <c r="A31">
        <v>0.58491775261696222</v>
      </c>
      <c r="B31">
        <v>0.32044434949797052</v>
      </c>
      <c r="C31">
        <v>0.8673665578173162</v>
      </c>
      <c r="D31">
        <v>0.54957731864375747</v>
      </c>
      <c r="E31">
        <v>0.28351695303201391</v>
      </c>
      <c r="F31">
        <v>0.99133274330881682</v>
      </c>
      <c r="G31">
        <v>0.88448744163335058</v>
      </c>
      <c r="H31">
        <v>0.41871395001068146</v>
      </c>
      <c r="I31">
        <v>0.88540299691763058</v>
      </c>
      <c r="J31">
        <v>0.64580217902157655</v>
      </c>
      <c r="K31">
        <v>0.27729117709891049</v>
      </c>
      <c r="L31">
        <v>0.96264534440137939</v>
      </c>
      <c r="M31">
        <v>0.7134617145298624</v>
      </c>
      <c r="N31">
        <v>0.90130314035462511</v>
      </c>
      <c r="O31">
        <v>0.93414105655079804</v>
      </c>
      <c r="P31">
        <v>0.79424420911282689</v>
      </c>
      <c r="Q31">
        <v>0.59541611987670517</v>
      </c>
      <c r="R31">
        <v>0.77538377025666061</v>
      </c>
      <c r="S31">
        <v>0.8009887997070223</v>
      </c>
      <c r="T31">
        <v>0.57994323557237459</v>
      </c>
      <c r="U31">
        <v>0.51896725363933227</v>
      </c>
      <c r="V31">
        <v>0.8443861201818903</v>
      </c>
      <c r="W31">
        <v>3.012176885280923E-2</v>
      </c>
      <c r="X31">
        <v>0.71883297219763787</v>
      </c>
      <c r="Y31">
        <v>0.21897030549027985</v>
      </c>
      <c r="Z31">
        <v>0.60737937559129607</v>
      </c>
      <c r="AA31">
        <v>0.51350444044312871</v>
      </c>
      <c r="AB31">
        <v>0.86773277993102815</v>
      </c>
      <c r="AC31">
        <v>0.2272713400677511</v>
      </c>
      <c r="AD31">
        <v>0.46140934476760154</v>
      </c>
    </row>
    <row r="32" spans="1:30" x14ac:dyDescent="0.3">
      <c r="A32">
        <v>0.58186590166936247</v>
      </c>
      <c r="B32">
        <v>0.96826075014496293</v>
      </c>
      <c r="C32">
        <v>0.41691335795159762</v>
      </c>
      <c r="D32">
        <v>0.19431134983367412</v>
      </c>
      <c r="E32">
        <v>0.15164647358623004</v>
      </c>
      <c r="F32">
        <v>0.93194372386852631</v>
      </c>
      <c r="G32">
        <v>0.5713675344096194</v>
      </c>
      <c r="H32">
        <v>0.40125736259041106</v>
      </c>
      <c r="I32">
        <v>9.9887081514938816E-2</v>
      </c>
      <c r="J32">
        <v>0.63975951414532917</v>
      </c>
      <c r="K32">
        <v>1.0864589373455E-2</v>
      </c>
      <c r="L32">
        <v>0.73152867213965267</v>
      </c>
      <c r="M32">
        <v>0.14917447431867428</v>
      </c>
      <c r="N32">
        <v>0.41273232215338601</v>
      </c>
      <c r="O32">
        <v>0.80626850184636978</v>
      </c>
      <c r="P32">
        <v>0.37147129734183781</v>
      </c>
      <c r="Q32">
        <v>4.361095004119999E-2</v>
      </c>
      <c r="R32">
        <v>0.60899685659352398</v>
      </c>
      <c r="S32">
        <v>0.61217078157902771</v>
      </c>
      <c r="T32">
        <v>0.67021698660237439</v>
      </c>
      <c r="U32">
        <v>0.29685354167302469</v>
      </c>
      <c r="V32">
        <v>0.50431836909085359</v>
      </c>
      <c r="W32">
        <v>0.65050202948088021</v>
      </c>
      <c r="X32">
        <v>0.31403546250801112</v>
      </c>
      <c r="Y32">
        <v>0.29395428327280498</v>
      </c>
      <c r="Z32">
        <v>0.11209448530533769</v>
      </c>
      <c r="AA32">
        <v>0.87566759239478742</v>
      </c>
      <c r="AB32">
        <v>0.95590075380718409</v>
      </c>
      <c r="AC32">
        <v>2.7649769585253458E-2</v>
      </c>
      <c r="AD32">
        <v>9.9032563249610892E-2</v>
      </c>
    </row>
    <row r="33" spans="1:30" x14ac:dyDescent="0.3">
      <c r="A33">
        <v>0.85253456221198154</v>
      </c>
      <c r="B33">
        <v>0.70628986480300304</v>
      </c>
      <c r="C33">
        <v>0.25101474044007693</v>
      </c>
      <c r="D33">
        <v>0.45268105105746637</v>
      </c>
      <c r="E33">
        <v>0.37873470259712516</v>
      </c>
      <c r="F33">
        <v>0.391644032105472</v>
      </c>
      <c r="G33">
        <v>0.3269447920163579</v>
      </c>
      <c r="H33">
        <v>5.7283242286446732E-2</v>
      </c>
      <c r="I33">
        <v>0.38212225714896086</v>
      </c>
      <c r="J33">
        <v>0.98663289284951328</v>
      </c>
      <c r="K33">
        <v>0.55668813135166484</v>
      </c>
      <c r="L33">
        <v>0.83397930845057522</v>
      </c>
      <c r="M33">
        <v>0.12509537034211249</v>
      </c>
      <c r="N33">
        <v>0.12634662923062837</v>
      </c>
      <c r="O33">
        <v>0.26761680959501938</v>
      </c>
      <c r="P33">
        <v>0.60179448835718863</v>
      </c>
      <c r="Q33">
        <v>0.24674214911343731</v>
      </c>
      <c r="R33">
        <v>0.10522782067323833</v>
      </c>
      <c r="S33">
        <v>0.44236579485457928</v>
      </c>
      <c r="T33">
        <v>0.31565294351023898</v>
      </c>
      <c r="U33">
        <v>0.67390972624897005</v>
      </c>
      <c r="V33">
        <v>0.26798303170873133</v>
      </c>
      <c r="W33">
        <v>0.17017120883816034</v>
      </c>
      <c r="X33">
        <v>0.83733634449293493</v>
      </c>
      <c r="Y33">
        <v>0.93301187170018618</v>
      </c>
      <c r="Z33">
        <v>0.19992675557725761</v>
      </c>
      <c r="AA33">
        <v>0.70162053285317549</v>
      </c>
      <c r="AB33">
        <v>0.89611499374370551</v>
      </c>
      <c r="AC33">
        <v>0.89333780938138985</v>
      </c>
      <c r="AD33">
        <v>0.62196722312082275</v>
      </c>
    </row>
    <row r="34" spans="1:30" x14ac:dyDescent="0.3">
      <c r="A34">
        <v>0.38810388500625631</v>
      </c>
      <c r="B34">
        <v>0.39506210516678364</v>
      </c>
      <c r="C34">
        <v>0.47303689687795647</v>
      </c>
      <c r="D34">
        <v>0.39701528977324746</v>
      </c>
      <c r="E34">
        <v>0.28766747032074952</v>
      </c>
      <c r="F34">
        <v>0.71929074983977781</v>
      </c>
      <c r="G34">
        <v>0.33973204748680075</v>
      </c>
      <c r="H34">
        <v>0.55427716910306102</v>
      </c>
      <c r="I34">
        <v>0.717734305856502</v>
      </c>
      <c r="J34">
        <v>0.20227668080690939</v>
      </c>
      <c r="K34">
        <v>0.13592944120609149</v>
      </c>
      <c r="L34">
        <v>0.73686941129795225</v>
      </c>
      <c r="M34">
        <v>0.53636280404065062</v>
      </c>
      <c r="N34">
        <v>0.40684224982451855</v>
      </c>
      <c r="O34">
        <v>0.26157414471877194</v>
      </c>
      <c r="P34">
        <v>0.97997985778374586</v>
      </c>
      <c r="Q34">
        <v>0.43357646412549211</v>
      </c>
      <c r="R34">
        <v>0.37672048097170935</v>
      </c>
      <c r="S34">
        <v>0.74413281655323948</v>
      </c>
      <c r="T34">
        <v>0.2248908963286233</v>
      </c>
      <c r="U34">
        <v>1.3489181188390759E-2</v>
      </c>
      <c r="V34">
        <v>0.51506088442640463</v>
      </c>
      <c r="W34">
        <v>0.22809533982360303</v>
      </c>
      <c r="X34">
        <v>0.4762108218634602</v>
      </c>
      <c r="Y34">
        <v>0.94857631153294475</v>
      </c>
      <c r="Z34">
        <v>0.24625385296182134</v>
      </c>
      <c r="AA34">
        <v>0.6147648548844874</v>
      </c>
      <c r="AB34">
        <v>7.2023682363353374E-3</v>
      </c>
      <c r="AC34">
        <v>0.98773155919064914</v>
      </c>
      <c r="AD34">
        <v>0.11700796533097324</v>
      </c>
    </row>
    <row r="35" spans="1:30" x14ac:dyDescent="0.3">
      <c r="A35">
        <v>0.3834955900753807</v>
      </c>
      <c r="B35">
        <v>0.52082888271736805</v>
      </c>
      <c r="C35">
        <v>9.8941007721182903E-2</v>
      </c>
      <c r="D35">
        <v>0.49339274269844663</v>
      </c>
      <c r="E35">
        <v>0.12616351817377239</v>
      </c>
      <c r="F35">
        <v>0.67152928250984223</v>
      </c>
      <c r="G35">
        <v>0.5280617694631794</v>
      </c>
      <c r="H35">
        <v>0.50950651570177308</v>
      </c>
      <c r="I35">
        <v>0.32560197759941406</v>
      </c>
      <c r="J35">
        <v>0.85528122806482132</v>
      </c>
      <c r="K35">
        <v>5.4658650471510972E-2</v>
      </c>
      <c r="L35">
        <v>0.4247566148869289</v>
      </c>
      <c r="M35">
        <v>0.90926847132786037</v>
      </c>
      <c r="N35">
        <v>0.67278054139835808</v>
      </c>
      <c r="O35">
        <v>0.22663045136875515</v>
      </c>
      <c r="P35">
        <v>4.5136875514999848E-2</v>
      </c>
      <c r="Q35">
        <v>0.60994293038727987</v>
      </c>
      <c r="R35">
        <v>0.97323526718955045</v>
      </c>
      <c r="S35">
        <v>0.85442670979949342</v>
      </c>
      <c r="T35">
        <v>0.36564226203192235</v>
      </c>
      <c r="U35">
        <v>0.66389965514084293</v>
      </c>
      <c r="V35">
        <v>0.88406018250068663</v>
      </c>
      <c r="W35">
        <v>0.54625080111087376</v>
      </c>
      <c r="X35">
        <v>8.926664021729179E-2</v>
      </c>
      <c r="Y35">
        <v>0.87859736930448318</v>
      </c>
      <c r="Z35">
        <v>0.73360393078402053</v>
      </c>
      <c r="AA35">
        <v>0.56581316568498796</v>
      </c>
      <c r="AB35">
        <v>0.17954039124729149</v>
      </c>
      <c r="AC35">
        <v>0.6003295999023408</v>
      </c>
      <c r="AD35">
        <v>0.27225562303537093</v>
      </c>
    </row>
    <row r="36" spans="1:30" x14ac:dyDescent="0.3">
      <c r="A36">
        <v>0.79317606128116702</v>
      </c>
      <c r="B36">
        <v>0.10220648823511459</v>
      </c>
      <c r="C36">
        <v>0.61403241065706349</v>
      </c>
      <c r="D36">
        <v>9.9002044740134895E-2</v>
      </c>
      <c r="E36">
        <v>7.0589312417981512E-2</v>
      </c>
      <c r="F36">
        <v>0.91280861842707606</v>
      </c>
      <c r="G36">
        <v>0.50553910946989344</v>
      </c>
      <c r="H36">
        <v>0.6990264595477157</v>
      </c>
      <c r="I36">
        <v>0.71459089938047426</v>
      </c>
      <c r="J36">
        <v>0.84606463820307021</v>
      </c>
      <c r="K36">
        <v>0.51817377239295637</v>
      </c>
      <c r="L36">
        <v>0.99902340769676812</v>
      </c>
      <c r="M36">
        <v>0.47474593340861232</v>
      </c>
      <c r="N36">
        <v>0.56382946256904809</v>
      </c>
      <c r="O36">
        <v>0.43473616748558003</v>
      </c>
      <c r="P36">
        <v>0.84636982329783017</v>
      </c>
      <c r="Q36">
        <v>0.72151860103152565</v>
      </c>
      <c r="R36">
        <v>0.7168797875911741</v>
      </c>
      <c r="S36">
        <v>0.5161595507675405</v>
      </c>
      <c r="T36">
        <v>0.31827753532517472</v>
      </c>
      <c r="U36">
        <v>0.14355906857509079</v>
      </c>
      <c r="V36">
        <v>0.97802667317728198</v>
      </c>
      <c r="W36">
        <v>2.7771843623157447E-2</v>
      </c>
      <c r="X36">
        <v>0.26749473555711539</v>
      </c>
      <c r="Y36">
        <v>0.73622852259895621</v>
      </c>
      <c r="Z36">
        <v>0.20163579210791344</v>
      </c>
      <c r="AA36">
        <v>0.38529618213446454</v>
      </c>
      <c r="AB36">
        <v>1.0071108127079073E-2</v>
      </c>
      <c r="AC36">
        <v>0.36201055940427868</v>
      </c>
      <c r="AD36">
        <v>0.86700033570360424</v>
      </c>
    </row>
  </sheetData>
  <mergeCells count="5">
    <mergeCell ref="A4:C4"/>
    <mergeCell ref="D6:E6"/>
    <mergeCell ref="N6:O6"/>
    <mergeCell ref="U6:Y6"/>
    <mergeCell ref="D5:O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4875F-7452-44D6-8CF7-8BAB7B77328E}">
  <sheetPr codeName="Sheet3"/>
  <dimension ref="A1:AC23"/>
  <sheetViews>
    <sheetView topLeftCell="R1" workbookViewId="0">
      <selection activeCell="AA17" sqref="AA17"/>
    </sheetView>
  </sheetViews>
  <sheetFormatPr defaultRowHeight="14.4" x14ac:dyDescent="0.3"/>
  <cols>
    <col min="1" max="1" width="23.6640625" bestFit="1" customWidth="1"/>
    <col min="2" max="2" width="10.109375" bestFit="1" customWidth="1"/>
    <col min="3" max="3" width="10.5546875" bestFit="1" customWidth="1"/>
    <col min="6" max="6" width="22" bestFit="1" customWidth="1"/>
    <col min="7" max="7" width="18.109375" bestFit="1" customWidth="1"/>
    <col min="8" max="8" width="14" bestFit="1" customWidth="1"/>
    <col min="9" max="9" width="16.33203125" bestFit="1" customWidth="1"/>
    <col min="10" max="10" width="22.33203125" bestFit="1" customWidth="1"/>
    <col min="11" max="11" width="19.21875" bestFit="1" customWidth="1"/>
    <col min="12" max="12" width="16.33203125" bestFit="1" customWidth="1"/>
    <col min="13" max="13" width="20.44140625" bestFit="1" customWidth="1"/>
    <col min="14" max="14" width="17" bestFit="1" customWidth="1"/>
    <col min="15" max="15" width="19.109375" bestFit="1" customWidth="1"/>
    <col min="16" max="16" width="18" bestFit="1" customWidth="1"/>
    <col min="17" max="17" width="24" bestFit="1" customWidth="1"/>
    <col min="18" max="18" width="17" bestFit="1" customWidth="1"/>
    <col min="19" max="19" width="17.5546875" bestFit="1" customWidth="1"/>
    <col min="20" max="20" width="19.88671875" bestFit="1" customWidth="1"/>
    <col min="21" max="21" width="27.109375" bestFit="1" customWidth="1"/>
    <col min="22" max="22" width="18.88671875" bestFit="1" customWidth="1"/>
    <col min="23" max="23" width="11.77734375" bestFit="1" customWidth="1"/>
    <col min="24" max="24" width="23.33203125" bestFit="1" customWidth="1"/>
    <col min="25" max="25" width="25.77734375" bestFit="1" customWidth="1"/>
    <col min="26" max="26" width="11.5546875" bestFit="1" customWidth="1"/>
    <col min="27" max="27" width="12.44140625" bestFit="1" customWidth="1"/>
    <col min="28" max="28" width="13.77734375" bestFit="1" customWidth="1"/>
    <col min="29" max="29" width="14.44140625" customWidth="1"/>
  </cols>
  <sheetData>
    <row r="1" spans="1:29" ht="15" thickBot="1" x14ac:dyDescent="0.35"/>
    <row r="2" spans="1:29" x14ac:dyDescent="0.3">
      <c r="A2" s="134" t="s">
        <v>63</v>
      </c>
      <c r="B2" s="135"/>
      <c r="C2" s="136"/>
      <c r="E2" s="79" t="s">
        <v>1</v>
      </c>
      <c r="F2" s="80" t="s">
        <v>227</v>
      </c>
      <c r="G2" s="80" t="s">
        <v>51</v>
      </c>
      <c r="H2" s="80" t="s">
        <v>52</v>
      </c>
      <c r="I2" s="80" t="s">
        <v>65</v>
      </c>
      <c r="J2" s="80" t="s">
        <v>66</v>
      </c>
      <c r="K2" s="80" t="s">
        <v>67</v>
      </c>
      <c r="L2" s="80" t="s">
        <v>68</v>
      </c>
      <c r="M2" s="80" t="s">
        <v>69</v>
      </c>
      <c r="N2" s="80" t="s">
        <v>70</v>
      </c>
      <c r="O2" s="80" t="s">
        <v>71</v>
      </c>
      <c r="P2" s="80" t="s">
        <v>72</v>
      </c>
      <c r="Q2" s="80" t="s">
        <v>73</v>
      </c>
      <c r="R2" s="80" t="s">
        <v>84</v>
      </c>
      <c r="S2" s="80" t="s">
        <v>74</v>
      </c>
      <c r="T2" s="80" t="s">
        <v>75</v>
      </c>
      <c r="U2" s="80" t="s">
        <v>76</v>
      </c>
      <c r="V2" s="80" t="s">
        <v>85</v>
      </c>
      <c r="W2" s="80" t="s">
        <v>77</v>
      </c>
      <c r="X2" s="80" t="s">
        <v>78</v>
      </c>
      <c r="Y2" s="80" t="s">
        <v>79</v>
      </c>
      <c r="Z2" s="80" t="s">
        <v>80</v>
      </c>
      <c r="AA2" s="80" t="s">
        <v>81</v>
      </c>
      <c r="AB2" s="80" t="s">
        <v>82</v>
      </c>
      <c r="AC2" s="81" t="s">
        <v>83</v>
      </c>
    </row>
    <row r="3" spans="1:29" ht="15.6" x14ac:dyDescent="0.3">
      <c r="A3" s="85" t="s">
        <v>59</v>
      </c>
      <c r="B3" s="72" t="s">
        <v>60</v>
      </c>
      <c r="C3" s="103" t="s">
        <v>61</v>
      </c>
      <c r="E3" s="101">
        <v>45103</v>
      </c>
      <c r="F3" s="22">
        <f>WEEKDAY(E3,1)</f>
        <v>2</v>
      </c>
      <c r="G3" s="22">
        <v>0.15451521347697378</v>
      </c>
      <c r="H3" s="22">
        <f>LOOKUP(G3,$C$4:$C$8,$A$4:$A$8)</f>
        <v>1</v>
      </c>
      <c r="I3" s="22">
        <v>0.81020538956877342</v>
      </c>
      <c r="J3" s="22">
        <f>IF(I3&lt;&gt;"",LOOKUP(I3, $C$12:$C$16,$A$12:$A$16))</f>
        <v>3</v>
      </c>
      <c r="K3" s="22">
        <f>IF(J3="",0,H3*J3)</f>
        <v>3</v>
      </c>
      <c r="L3" s="22">
        <f>$B$18</f>
        <v>10</v>
      </c>
      <c r="M3" s="22">
        <v>0</v>
      </c>
      <c r="N3" s="22">
        <f t="shared" ref="N3:N9" si="0">L3+M3</f>
        <v>10</v>
      </c>
      <c r="O3" s="22">
        <v>0</v>
      </c>
      <c r="P3" s="22">
        <f t="shared" ref="P3:P9" si="1">MIN(N3:O3)</f>
        <v>0</v>
      </c>
      <c r="Q3" s="22">
        <f t="shared" ref="Q3:Q9" si="2">N3-P3</f>
        <v>10</v>
      </c>
      <c r="R3" s="22">
        <f t="shared" ref="R3:R9" si="3">MIN(K3,Q3)</f>
        <v>3</v>
      </c>
      <c r="S3" s="22">
        <f t="shared" ref="S3:S9" si="4">MAX(0,(K3-Q3))</f>
        <v>0</v>
      </c>
      <c r="T3" s="22">
        <f t="shared" ref="T3:T9" si="5">O3 - P3+S3</f>
        <v>0</v>
      </c>
      <c r="U3" s="22">
        <f t="shared" ref="U3:U9" si="6">Q3-R3</f>
        <v>7</v>
      </c>
      <c r="V3" s="22" t="str">
        <f t="shared" ref="V3:V9" si="7">IF(U3&lt;=2,"Yes","No")</f>
        <v>No</v>
      </c>
      <c r="W3" s="22">
        <f t="shared" ref="W3:W9" si="8">IF(V3="Yes",$B$19,0)</f>
        <v>0</v>
      </c>
      <c r="X3" s="22">
        <f t="shared" ref="X3:X9" si="9">W3</f>
        <v>0</v>
      </c>
      <c r="Y3" s="22">
        <f t="shared" ref="Y3:Y9" si="10">U3</f>
        <v>7</v>
      </c>
      <c r="Z3" s="22">
        <f t="shared" ref="Z3:Z9" si="11">Y3*$B$20</f>
        <v>70</v>
      </c>
      <c r="AA3" s="22">
        <f t="shared" ref="AA3:AA9" si="12">IF(W3&gt;0,$B$21,0)</f>
        <v>0</v>
      </c>
      <c r="AB3" s="22">
        <f t="shared" ref="AB3:AB9" si="13">T3*$B$22</f>
        <v>0</v>
      </c>
      <c r="AC3" s="83">
        <f t="shared" ref="AC3:AC10" si="14">Z3+AA3+AB3</f>
        <v>70</v>
      </c>
    </row>
    <row r="4" spans="1:29" ht="15.6" x14ac:dyDescent="0.3">
      <c r="A4" s="37">
        <v>0</v>
      </c>
      <c r="B4" s="22">
        <v>0.05</v>
      </c>
      <c r="C4" s="83">
        <f>B4</f>
        <v>0.05</v>
      </c>
      <c r="D4" s="27"/>
      <c r="E4" s="101">
        <v>45104</v>
      </c>
      <c r="F4" s="22">
        <f t="shared" ref="F4:F9" si="15">WEEKDAY(E4,1)</f>
        <v>3</v>
      </c>
      <c r="G4" s="22">
        <v>0.52952665791802733</v>
      </c>
      <c r="H4" s="22">
        <f t="shared" ref="H4:H9" si="16">LOOKUP(G4,$C$4:$C$8,$A$4:$A$8)</f>
        <v>2</v>
      </c>
      <c r="I4" s="22">
        <v>0.16925565355388042</v>
      </c>
      <c r="J4" s="22">
        <f t="shared" ref="J4:J9" si="17">IF(I4&lt;&gt;"",LOOKUP(I4, $C$12:$C$16,$A$12:$A$16))</f>
        <v>2</v>
      </c>
      <c r="K4" s="22">
        <f t="shared" ref="K4:K9" si="18">IF(J4="",0,H4*J4)</f>
        <v>4</v>
      </c>
      <c r="L4" s="22">
        <f t="shared" ref="L4:L9" si="19">Y3</f>
        <v>7</v>
      </c>
      <c r="M4" s="22">
        <f t="shared" ref="M4:M9" si="20">X3</f>
        <v>0</v>
      </c>
      <c r="N4" s="22">
        <f t="shared" si="0"/>
        <v>7</v>
      </c>
      <c r="O4" s="22">
        <v>0</v>
      </c>
      <c r="P4" s="22">
        <f t="shared" si="1"/>
        <v>0</v>
      </c>
      <c r="Q4" s="22">
        <f t="shared" si="2"/>
        <v>7</v>
      </c>
      <c r="R4" s="22">
        <f t="shared" si="3"/>
        <v>4</v>
      </c>
      <c r="S4" s="22">
        <f t="shared" si="4"/>
        <v>0</v>
      </c>
      <c r="T4" s="22">
        <f t="shared" si="5"/>
        <v>0</v>
      </c>
      <c r="U4" s="22">
        <f t="shared" si="6"/>
        <v>3</v>
      </c>
      <c r="V4" s="22" t="str">
        <f t="shared" si="7"/>
        <v>No</v>
      </c>
      <c r="W4" s="22">
        <f t="shared" si="8"/>
        <v>0</v>
      </c>
      <c r="X4" s="22">
        <f t="shared" si="9"/>
        <v>0</v>
      </c>
      <c r="Y4" s="22">
        <f t="shared" si="10"/>
        <v>3</v>
      </c>
      <c r="Z4" s="22">
        <f t="shared" si="11"/>
        <v>30</v>
      </c>
      <c r="AA4" s="22">
        <f t="shared" si="12"/>
        <v>0</v>
      </c>
      <c r="AB4" s="22">
        <f t="shared" si="13"/>
        <v>0</v>
      </c>
      <c r="AC4" s="83">
        <f t="shared" si="14"/>
        <v>30</v>
      </c>
    </row>
    <row r="5" spans="1:29" ht="15.6" x14ac:dyDescent="0.3">
      <c r="A5" s="37">
        <v>1</v>
      </c>
      <c r="B5" s="28">
        <v>0.1</v>
      </c>
      <c r="C5" s="70">
        <f>C4+B5</f>
        <v>0.15000000000000002</v>
      </c>
      <c r="D5" s="27"/>
      <c r="E5" s="101">
        <v>45105</v>
      </c>
      <c r="F5" s="22">
        <f t="shared" si="15"/>
        <v>4</v>
      </c>
      <c r="G5" s="22">
        <v>0.2077089754936369</v>
      </c>
      <c r="H5" s="22">
        <f t="shared" si="16"/>
        <v>1</v>
      </c>
      <c r="I5" s="22">
        <v>0.73174230170598464</v>
      </c>
      <c r="J5" s="22">
        <f t="shared" si="17"/>
        <v>2</v>
      </c>
      <c r="K5" s="22">
        <f t="shared" si="18"/>
        <v>2</v>
      </c>
      <c r="L5" s="22">
        <f t="shared" si="19"/>
        <v>3</v>
      </c>
      <c r="M5" s="22">
        <f t="shared" si="20"/>
        <v>0</v>
      </c>
      <c r="N5" s="22">
        <f t="shared" si="0"/>
        <v>3</v>
      </c>
      <c r="O5" s="22">
        <v>0</v>
      </c>
      <c r="P5" s="22">
        <f t="shared" si="1"/>
        <v>0</v>
      </c>
      <c r="Q5" s="22">
        <f t="shared" si="2"/>
        <v>3</v>
      </c>
      <c r="R5" s="22">
        <f t="shared" si="3"/>
        <v>2</v>
      </c>
      <c r="S5" s="22">
        <f t="shared" si="4"/>
        <v>0</v>
      </c>
      <c r="T5" s="22">
        <f t="shared" si="5"/>
        <v>0</v>
      </c>
      <c r="U5" s="22">
        <f t="shared" si="6"/>
        <v>1</v>
      </c>
      <c r="V5" s="22" t="str">
        <f t="shared" si="7"/>
        <v>Yes</v>
      </c>
      <c r="W5" s="22">
        <f t="shared" si="8"/>
        <v>10</v>
      </c>
      <c r="X5" s="22">
        <f t="shared" si="9"/>
        <v>10</v>
      </c>
      <c r="Y5" s="22">
        <f t="shared" si="10"/>
        <v>1</v>
      </c>
      <c r="Z5" s="22">
        <f t="shared" si="11"/>
        <v>10</v>
      </c>
      <c r="AA5" s="22">
        <f t="shared" si="12"/>
        <v>500</v>
      </c>
      <c r="AB5" s="22">
        <f t="shared" si="13"/>
        <v>0</v>
      </c>
      <c r="AC5" s="83">
        <f t="shared" si="14"/>
        <v>510</v>
      </c>
    </row>
    <row r="6" spans="1:29" ht="15.6" x14ac:dyDescent="0.3">
      <c r="A6" s="37">
        <v>2</v>
      </c>
      <c r="B6" s="28">
        <v>0.2</v>
      </c>
      <c r="C6" s="70">
        <f t="shared" ref="C6:C8" si="21">C5+B6</f>
        <v>0.35000000000000003</v>
      </c>
      <c r="D6" s="27"/>
      <c r="E6" s="101">
        <v>45106</v>
      </c>
      <c r="F6" s="22">
        <f t="shared" si="15"/>
        <v>5</v>
      </c>
      <c r="G6" s="22">
        <v>0.20798364207892087</v>
      </c>
      <c r="H6" s="22">
        <f t="shared" si="16"/>
        <v>1</v>
      </c>
      <c r="I6" s="22">
        <v>0.31989501632740258</v>
      </c>
      <c r="J6" s="22">
        <f t="shared" si="17"/>
        <v>2</v>
      </c>
      <c r="K6" s="22">
        <f t="shared" si="18"/>
        <v>2</v>
      </c>
      <c r="L6" s="22">
        <f t="shared" si="19"/>
        <v>1</v>
      </c>
      <c r="M6" s="22">
        <f t="shared" si="20"/>
        <v>10</v>
      </c>
      <c r="N6" s="22">
        <f t="shared" si="0"/>
        <v>11</v>
      </c>
      <c r="O6" s="22">
        <v>0</v>
      </c>
      <c r="P6" s="22">
        <f t="shared" si="1"/>
        <v>0</v>
      </c>
      <c r="Q6" s="22">
        <f t="shared" si="2"/>
        <v>11</v>
      </c>
      <c r="R6" s="22">
        <f t="shared" si="3"/>
        <v>2</v>
      </c>
      <c r="S6" s="22">
        <f t="shared" si="4"/>
        <v>0</v>
      </c>
      <c r="T6" s="22">
        <f t="shared" si="5"/>
        <v>0</v>
      </c>
      <c r="U6" s="22">
        <f t="shared" si="6"/>
        <v>9</v>
      </c>
      <c r="V6" s="22" t="str">
        <f t="shared" si="7"/>
        <v>No</v>
      </c>
      <c r="W6" s="22">
        <f t="shared" si="8"/>
        <v>0</v>
      </c>
      <c r="X6" s="22">
        <f t="shared" si="9"/>
        <v>0</v>
      </c>
      <c r="Y6" s="22">
        <f t="shared" si="10"/>
        <v>9</v>
      </c>
      <c r="Z6" s="22">
        <f t="shared" si="11"/>
        <v>90</v>
      </c>
      <c r="AA6" s="22">
        <f t="shared" si="12"/>
        <v>0</v>
      </c>
      <c r="AB6" s="22">
        <f t="shared" si="13"/>
        <v>0</v>
      </c>
      <c r="AC6" s="83">
        <f t="shared" si="14"/>
        <v>90</v>
      </c>
    </row>
    <row r="7" spans="1:29" ht="15.6" x14ac:dyDescent="0.3">
      <c r="A7" s="37">
        <v>3</v>
      </c>
      <c r="B7" s="22">
        <v>0.45</v>
      </c>
      <c r="C7" s="70">
        <f t="shared" si="21"/>
        <v>0.8</v>
      </c>
      <c r="D7" s="27"/>
      <c r="E7" s="101">
        <v>45107</v>
      </c>
      <c r="F7" s="22">
        <f t="shared" si="15"/>
        <v>6</v>
      </c>
      <c r="G7" s="22">
        <v>0.24073000274666587</v>
      </c>
      <c r="H7" s="22">
        <f t="shared" si="16"/>
        <v>1</v>
      </c>
      <c r="I7" s="22">
        <v>0.78246406445509198</v>
      </c>
      <c r="J7" s="22">
        <f t="shared" si="17"/>
        <v>3</v>
      </c>
      <c r="K7" s="22">
        <f t="shared" si="18"/>
        <v>3</v>
      </c>
      <c r="L7" s="22">
        <f t="shared" si="19"/>
        <v>9</v>
      </c>
      <c r="M7" s="22">
        <f t="shared" si="20"/>
        <v>0</v>
      </c>
      <c r="N7" s="22">
        <f t="shared" si="0"/>
        <v>9</v>
      </c>
      <c r="O7" s="22">
        <v>0</v>
      </c>
      <c r="P7" s="22">
        <f t="shared" si="1"/>
        <v>0</v>
      </c>
      <c r="Q7" s="22">
        <f t="shared" si="2"/>
        <v>9</v>
      </c>
      <c r="R7" s="22">
        <f t="shared" si="3"/>
        <v>3</v>
      </c>
      <c r="S7" s="22">
        <f t="shared" si="4"/>
        <v>0</v>
      </c>
      <c r="T7" s="22">
        <f t="shared" si="5"/>
        <v>0</v>
      </c>
      <c r="U7" s="22">
        <f t="shared" si="6"/>
        <v>6</v>
      </c>
      <c r="V7" s="22" t="str">
        <f t="shared" si="7"/>
        <v>No</v>
      </c>
      <c r="W7" s="22">
        <f t="shared" si="8"/>
        <v>0</v>
      </c>
      <c r="X7" s="22">
        <f t="shared" si="9"/>
        <v>0</v>
      </c>
      <c r="Y7" s="22">
        <f t="shared" si="10"/>
        <v>6</v>
      </c>
      <c r="Z7" s="22">
        <f t="shared" si="11"/>
        <v>60</v>
      </c>
      <c r="AA7" s="22">
        <f t="shared" si="12"/>
        <v>0</v>
      </c>
      <c r="AB7" s="22">
        <f t="shared" si="13"/>
        <v>0</v>
      </c>
      <c r="AC7" s="83">
        <f t="shared" si="14"/>
        <v>60</v>
      </c>
    </row>
    <row r="8" spans="1:29" ht="16.2" thickBot="1" x14ac:dyDescent="0.35">
      <c r="A8" s="39">
        <v>4</v>
      </c>
      <c r="B8" s="50">
        <v>0.2</v>
      </c>
      <c r="C8" s="71">
        <f t="shared" si="21"/>
        <v>1</v>
      </c>
      <c r="D8" s="27"/>
      <c r="E8" s="101">
        <v>45108</v>
      </c>
      <c r="F8" s="22">
        <f t="shared" si="15"/>
        <v>7</v>
      </c>
      <c r="G8" s="22">
        <v>0.87939085055085908</v>
      </c>
      <c r="H8" s="22">
        <f t="shared" si="16"/>
        <v>3</v>
      </c>
      <c r="I8" s="22">
        <v>0.95464949491866813</v>
      </c>
      <c r="J8" s="22">
        <f t="shared" si="17"/>
        <v>4</v>
      </c>
      <c r="K8" s="22">
        <f t="shared" si="18"/>
        <v>12</v>
      </c>
      <c r="L8" s="22">
        <f t="shared" si="19"/>
        <v>6</v>
      </c>
      <c r="M8" s="22">
        <f t="shared" si="20"/>
        <v>0</v>
      </c>
      <c r="N8" s="22">
        <f t="shared" si="0"/>
        <v>6</v>
      </c>
      <c r="O8" s="22">
        <v>0</v>
      </c>
      <c r="P8" s="22">
        <f t="shared" si="1"/>
        <v>0</v>
      </c>
      <c r="Q8" s="22">
        <f t="shared" si="2"/>
        <v>6</v>
      </c>
      <c r="R8" s="22">
        <f t="shared" si="3"/>
        <v>6</v>
      </c>
      <c r="S8" s="22">
        <f t="shared" si="4"/>
        <v>6</v>
      </c>
      <c r="T8" s="22">
        <f t="shared" si="5"/>
        <v>6</v>
      </c>
      <c r="U8" s="22">
        <f t="shared" si="6"/>
        <v>0</v>
      </c>
      <c r="V8" s="22" t="str">
        <f t="shared" si="7"/>
        <v>Yes</v>
      </c>
      <c r="W8" s="22">
        <f t="shared" si="8"/>
        <v>10</v>
      </c>
      <c r="X8" s="22">
        <f t="shared" si="9"/>
        <v>10</v>
      </c>
      <c r="Y8" s="22">
        <f t="shared" si="10"/>
        <v>0</v>
      </c>
      <c r="Z8" s="22">
        <f t="shared" si="11"/>
        <v>0</v>
      </c>
      <c r="AA8" s="22">
        <f t="shared" si="12"/>
        <v>500</v>
      </c>
      <c r="AB8" s="22">
        <f t="shared" si="13"/>
        <v>120</v>
      </c>
      <c r="AC8" s="83">
        <f t="shared" si="14"/>
        <v>620</v>
      </c>
    </row>
    <row r="9" spans="1:29" ht="16.2" thickBot="1" x14ac:dyDescent="0.35">
      <c r="D9" s="27"/>
      <c r="E9" s="102">
        <v>45109</v>
      </c>
      <c r="F9" s="40">
        <f t="shared" si="15"/>
        <v>1</v>
      </c>
      <c r="G9" s="40">
        <v>0.26184881130405591</v>
      </c>
      <c r="H9" s="40">
        <f t="shared" si="16"/>
        <v>1</v>
      </c>
      <c r="I9" s="40">
        <v>0.68312631611072117</v>
      </c>
      <c r="J9" s="40">
        <f t="shared" si="17"/>
        <v>2</v>
      </c>
      <c r="K9" s="40">
        <f t="shared" si="18"/>
        <v>2</v>
      </c>
      <c r="L9" s="40">
        <f t="shared" si="19"/>
        <v>0</v>
      </c>
      <c r="M9" s="40">
        <f t="shared" si="20"/>
        <v>10</v>
      </c>
      <c r="N9" s="40">
        <f t="shared" si="0"/>
        <v>10</v>
      </c>
      <c r="O9" s="40">
        <v>0</v>
      </c>
      <c r="P9" s="40">
        <f t="shared" si="1"/>
        <v>0</v>
      </c>
      <c r="Q9" s="40">
        <f t="shared" si="2"/>
        <v>10</v>
      </c>
      <c r="R9" s="40">
        <f t="shared" si="3"/>
        <v>2</v>
      </c>
      <c r="S9" s="40">
        <f t="shared" si="4"/>
        <v>0</v>
      </c>
      <c r="T9" s="40">
        <f t="shared" si="5"/>
        <v>0</v>
      </c>
      <c r="U9" s="40">
        <f t="shared" si="6"/>
        <v>8</v>
      </c>
      <c r="V9" s="40" t="str">
        <f t="shared" si="7"/>
        <v>No</v>
      </c>
      <c r="W9" s="40">
        <f t="shared" si="8"/>
        <v>0</v>
      </c>
      <c r="X9" s="40">
        <f t="shared" si="9"/>
        <v>0</v>
      </c>
      <c r="Y9" s="40">
        <f t="shared" si="10"/>
        <v>8</v>
      </c>
      <c r="Z9" s="40">
        <f t="shared" si="11"/>
        <v>80</v>
      </c>
      <c r="AA9" s="40">
        <f t="shared" si="12"/>
        <v>0</v>
      </c>
      <c r="AB9" s="40">
        <f t="shared" si="13"/>
        <v>0</v>
      </c>
      <c r="AC9" s="84">
        <f t="shared" si="14"/>
        <v>80</v>
      </c>
    </row>
    <row r="10" spans="1:29" x14ac:dyDescent="0.3">
      <c r="A10" s="134" t="s">
        <v>64</v>
      </c>
      <c r="B10" s="135"/>
      <c r="C10" s="136"/>
      <c r="D10" s="27"/>
      <c r="Z10" s="98">
        <f>SUM(Z3:Z9)</f>
        <v>340</v>
      </c>
      <c r="AA10" s="99">
        <f>SUM(AA3:AA9)</f>
        <v>1000</v>
      </c>
      <c r="AB10" s="99">
        <f>SUM(AB3:AB9)</f>
        <v>120</v>
      </c>
      <c r="AC10" s="100">
        <f t="shared" si="14"/>
        <v>1460</v>
      </c>
    </row>
    <row r="11" spans="1:29" ht="16.2" thickBot="1" x14ac:dyDescent="0.35">
      <c r="A11" s="85" t="s">
        <v>62</v>
      </c>
      <c r="B11" s="72" t="s">
        <v>60</v>
      </c>
      <c r="C11" s="103" t="s">
        <v>61</v>
      </c>
      <c r="Z11" s="137" t="s">
        <v>196</v>
      </c>
      <c r="AA11" s="138"/>
      <c r="AB11" s="138"/>
      <c r="AC11" s="139"/>
    </row>
    <row r="12" spans="1:29" ht="15" thickBot="1" x14ac:dyDescent="0.35">
      <c r="A12" s="37">
        <v>2</v>
      </c>
      <c r="B12" s="22">
        <v>0</v>
      </c>
      <c r="C12" s="83">
        <f>B12</f>
        <v>0</v>
      </c>
    </row>
    <row r="13" spans="1:29" ht="16.2" thickBot="1" x14ac:dyDescent="0.35">
      <c r="A13" s="37">
        <v>2</v>
      </c>
      <c r="B13" s="22">
        <v>0.5</v>
      </c>
      <c r="C13" s="83">
        <f>B13+C12</f>
        <v>0.5</v>
      </c>
      <c r="AA13" s="140" t="s">
        <v>197</v>
      </c>
      <c r="AB13" s="141"/>
      <c r="AC13" s="82">
        <f>AVERAGE(AC3:AC9)</f>
        <v>208.57142857142858</v>
      </c>
    </row>
    <row r="14" spans="1:29" x14ac:dyDescent="0.3">
      <c r="A14" s="37">
        <v>3</v>
      </c>
      <c r="B14" s="22">
        <v>0.25</v>
      </c>
      <c r="C14" s="83">
        <f t="shared" ref="C14:C16" si="22">B14+C13</f>
        <v>0.75</v>
      </c>
    </row>
    <row r="15" spans="1:29" x14ac:dyDescent="0.3">
      <c r="A15" s="37">
        <v>4</v>
      </c>
      <c r="B15" s="22">
        <v>0.15</v>
      </c>
      <c r="C15" s="83">
        <f t="shared" si="22"/>
        <v>0.9</v>
      </c>
    </row>
    <row r="16" spans="1:29" ht="15" thickBot="1" x14ac:dyDescent="0.35">
      <c r="A16" s="39">
        <v>5</v>
      </c>
      <c r="B16" s="40">
        <v>0.1</v>
      </c>
      <c r="C16" s="84">
        <f t="shared" si="22"/>
        <v>1</v>
      </c>
    </row>
    <row r="17" spans="1:2" ht="15" thickBot="1" x14ac:dyDescent="0.35"/>
    <row r="18" spans="1:2" x14ac:dyDescent="0.3">
      <c r="A18" s="104" t="s">
        <v>53</v>
      </c>
      <c r="B18" s="105">
        <v>10</v>
      </c>
    </row>
    <row r="19" spans="1:2" x14ac:dyDescent="0.3">
      <c r="A19" s="106" t="s">
        <v>54</v>
      </c>
      <c r="B19" s="83">
        <v>10</v>
      </c>
    </row>
    <row r="20" spans="1:2" x14ac:dyDescent="0.3">
      <c r="A20" s="106" t="s">
        <v>55</v>
      </c>
      <c r="B20" s="83">
        <v>10</v>
      </c>
    </row>
    <row r="21" spans="1:2" x14ac:dyDescent="0.3">
      <c r="A21" s="106" t="s">
        <v>56</v>
      </c>
      <c r="B21" s="83">
        <v>500</v>
      </c>
    </row>
    <row r="22" spans="1:2" x14ac:dyDescent="0.3">
      <c r="A22" s="106" t="s">
        <v>57</v>
      </c>
      <c r="B22" s="83">
        <v>20</v>
      </c>
    </row>
    <row r="23" spans="1:2" ht="15" thickBot="1" x14ac:dyDescent="0.35">
      <c r="A23" s="107" t="s">
        <v>58</v>
      </c>
      <c r="B23" s="84">
        <v>2887</v>
      </c>
    </row>
  </sheetData>
  <mergeCells count="4">
    <mergeCell ref="A2:C2"/>
    <mergeCell ref="A10:C10"/>
    <mergeCell ref="Z11:AC11"/>
    <mergeCell ref="AA13:AB1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65420-B715-4547-80D4-2F7B70919B31}">
  <dimension ref="A1:G19"/>
  <sheetViews>
    <sheetView workbookViewId="0">
      <selection activeCell="D16" sqref="D16"/>
    </sheetView>
  </sheetViews>
  <sheetFormatPr defaultRowHeight="14.4" x14ac:dyDescent="0.3"/>
  <cols>
    <col min="1" max="1" width="28.33203125" bestFit="1" customWidth="1"/>
    <col min="2" max="2" width="7" customWidth="1"/>
    <col min="3" max="3" width="7.21875" customWidth="1"/>
    <col min="4" max="4" width="7.44140625" customWidth="1"/>
    <col min="5" max="5" width="7.21875" customWidth="1"/>
    <col min="6" max="6" width="6.6640625" customWidth="1"/>
    <col min="7" max="7" width="12.77734375" bestFit="1" customWidth="1"/>
    <col min="8" max="8" width="23.44140625" bestFit="1" customWidth="1"/>
  </cols>
  <sheetData>
    <row r="1" spans="1:6" x14ac:dyDescent="0.3">
      <c r="A1" s="89" t="s">
        <v>87</v>
      </c>
      <c r="B1" s="108" t="s">
        <v>88</v>
      </c>
      <c r="C1" s="108" t="s">
        <v>89</v>
      </c>
      <c r="D1" s="108" t="s">
        <v>90</v>
      </c>
      <c r="E1" s="108" t="s">
        <v>91</v>
      </c>
      <c r="F1" s="109" t="s">
        <v>92</v>
      </c>
    </row>
    <row r="2" spans="1:6" x14ac:dyDescent="0.3">
      <c r="A2" s="93" t="s">
        <v>93</v>
      </c>
      <c r="B2" s="22">
        <v>14</v>
      </c>
      <c r="C2" s="22">
        <v>7</v>
      </c>
      <c r="D2" s="22">
        <v>3</v>
      </c>
      <c r="E2" s="22">
        <v>7</v>
      </c>
      <c r="F2" s="83">
        <v>27</v>
      </c>
    </row>
    <row r="3" spans="1:6" x14ac:dyDescent="0.3">
      <c r="A3" s="93" t="s">
        <v>94</v>
      </c>
      <c r="B3" s="22">
        <v>20</v>
      </c>
      <c r="C3" s="22">
        <v>7</v>
      </c>
      <c r="D3" s="22">
        <v>12</v>
      </c>
      <c r="E3" s="22">
        <v>6</v>
      </c>
      <c r="F3" s="83">
        <v>30</v>
      </c>
    </row>
    <row r="4" spans="1:6" x14ac:dyDescent="0.3">
      <c r="A4" s="93" t="s">
        <v>95</v>
      </c>
      <c r="B4" s="22">
        <v>10</v>
      </c>
      <c r="C4" s="22">
        <v>3</v>
      </c>
      <c r="D4" s="22">
        <v>4</v>
      </c>
      <c r="E4" s="22">
        <v>5</v>
      </c>
      <c r="F4" s="83">
        <v>21</v>
      </c>
    </row>
    <row r="5" spans="1:6" x14ac:dyDescent="0.3">
      <c r="A5" s="93" t="s">
        <v>96</v>
      </c>
      <c r="B5" s="22">
        <v>8</v>
      </c>
      <c r="C5" s="22">
        <v>12</v>
      </c>
      <c r="D5" s="22">
        <v>7</v>
      </c>
      <c r="E5" s="22">
        <v>12</v>
      </c>
      <c r="F5" s="83">
        <v>21</v>
      </c>
    </row>
    <row r="6" spans="1:6" ht="15" thickBot="1" x14ac:dyDescent="0.35">
      <c r="A6" s="91" t="s">
        <v>97</v>
      </c>
      <c r="B6" s="40">
        <v>13</v>
      </c>
      <c r="C6" s="40">
        <v>25</v>
      </c>
      <c r="D6" s="40">
        <v>24</v>
      </c>
      <c r="E6" s="40">
        <v>26</v>
      </c>
      <c r="F6" s="84">
        <v>8</v>
      </c>
    </row>
    <row r="7" spans="1:6" x14ac:dyDescent="0.3">
      <c r="A7" s="78"/>
    </row>
    <row r="8" spans="1:6" ht="15" thickBot="1" x14ac:dyDescent="0.35"/>
    <row r="9" spans="1:6" x14ac:dyDescent="0.3">
      <c r="A9" s="89" t="s">
        <v>87</v>
      </c>
      <c r="B9" s="108" t="s">
        <v>88</v>
      </c>
      <c r="C9" s="108" t="s">
        <v>98</v>
      </c>
      <c r="D9" s="108" t="s">
        <v>90</v>
      </c>
      <c r="E9" s="108" t="s">
        <v>91</v>
      </c>
      <c r="F9" s="109" t="s">
        <v>92</v>
      </c>
    </row>
    <row r="10" spans="1:6" x14ac:dyDescent="0.3">
      <c r="A10" s="93" t="s">
        <v>93</v>
      </c>
      <c r="B10" s="22">
        <v>0</v>
      </c>
      <c r="C10" s="22">
        <v>0</v>
      </c>
      <c r="D10" s="22">
        <v>1</v>
      </c>
      <c r="E10" s="22">
        <v>0</v>
      </c>
      <c r="F10" s="83">
        <v>0</v>
      </c>
    </row>
    <row r="11" spans="1:6" x14ac:dyDescent="0.3">
      <c r="A11" s="93" t="s">
        <v>94</v>
      </c>
      <c r="B11" s="22">
        <v>0</v>
      </c>
      <c r="C11" s="22">
        <v>0</v>
      </c>
      <c r="D11" s="22">
        <v>0</v>
      </c>
      <c r="E11" s="22">
        <v>0</v>
      </c>
      <c r="F11" s="83">
        <v>0</v>
      </c>
    </row>
    <row r="12" spans="1:6" x14ac:dyDescent="0.3">
      <c r="A12" s="93" t="s">
        <v>95</v>
      </c>
      <c r="B12" s="22">
        <v>0</v>
      </c>
      <c r="C12" s="22">
        <v>1</v>
      </c>
      <c r="D12" s="22">
        <v>0</v>
      </c>
      <c r="E12" s="22">
        <v>1</v>
      </c>
      <c r="F12" s="83">
        <v>0</v>
      </c>
    </row>
    <row r="13" spans="1:6" x14ac:dyDescent="0.3">
      <c r="A13" s="93" t="s">
        <v>96</v>
      </c>
      <c r="B13" s="22">
        <v>1</v>
      </c>
      <c r="C13" s="22">
        <v>0</v>
      </c>
      <c r="D13" s="22">
        <v>0</v>
      </c>
      <c r="E13" s="22">
        <v>0</v>
      </c>
      <c r="F13" s="83">
        <v>0</v>
      </c>
    </row>
    <row r="14" spans="1:6" ht="15" thickBot="1" x14ac:dyDescent="0.35">
      <c r="A14" s="91" t="s">
        <v>97</v>
      </c>
      <c r="B14" s="40">
        <v>0</v>
      </c>
      <c r="C14" s="40">
        <v>0</v>
      </c>
      <c r="D14" s="40">
        <v>0</v>
      </c>
      <c r="E14" s="40">
        <v>0</v>
      </c>
      <c r="F14" s="84">
        <v>1</v>
      </c>
    </row>
    <row r="15" spans="1:6" ht="15" thickBot="1" x14ac:dyDescent="0.35"/>
    <row r="16" spans="1:6" ht="15" thickBot="1" x14ac:dyDescent="0.35">
      <c r="A16" s="110" t="s">
        <v>99</v>
      </c>
      <c r="B16" s="111">
        <f>SUMPRODUCT(B2:F6,B10:F14)</f>
        <v>27</v>
      </c>
    </row>
    <row r="17" spans="1:7" ht="15" thickBot="1" x14ac:dyDescent="0.35"/>
    <row r="18" spans="1:7" x14ac:dyDescent="0.3">
      <c r="A18" s="89" t="s">
        <v>100</v>
      </c>
      <c r="B18" s="108" t="s">
        <v>88</v>
      </c>
      <c r="C18" s="108" t="s">
        <v>98</v>
      </c>
      <c r="D18" s="108" t="s">
        <v>90</v>
      </c>
      <c r="E18" s="108" t="s">
        <v>91</v>
      </c>
      <c r="F18" s="108" t="s">
        <v>92</v>
      </c>
      <c r="G18" s="109" t="s">
        <v>101</v>
      </c>
    </row>
    <row r="19" spans="1:7" ht="15" thickBot="1" x14ac:dyDescent="0.35">
      <c r="A19" s="86" t="s">
        <v>102</v>
      </c>
      <c r="B19" s="40">
        <f>SUM(B10:B14)</f>
        <v>1</v>
      </c>
      <c r="C19" s="40">
        <f t="shared" ref="C19:F19" si="0">SUM(C10:C14)</f>
        <v>1</v>
      </c>
      <c r="D19" s="40">
        <f t="shared" si="0"/>
        <v>1</v>
      </c>
      <c r="E19" s="40">
        <f t="shared" si="0"/>
        <v>1</v>
      </c>
      <c r="F19" s="40">
        <f t="shared" si="0"/>
        <v>1</v>
      </c>
      <c r="G19" s="84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DEA3D-5C2B-4C45-88EB-31FC906DEE77}">
  <dimension ref="A1:G55"/>
  <sheetViews>
    <sheetView showGridLines="0" topLeftCell="A7" workbookViewId="0">
      <selection activeCell="H17" sqref="H17"/>
    </sheetView>
  </sheetViews>
  <sheetFormatPr defaultRowHeight="14.4" x14ac:dyDescent="0.3"/>
  <cols>
    <col min="1" max="1" width="2.33203125" customWidth="1"/>
    <col min="2" max="2" width="17.88671875" bestFit="1" customWidth="1"/>
    <col min="3" max="3" width="32" bestFit="1" customWidth="1"/>
    <col min="4" max="4" width="12.6640625" bestFit="1" customWidth="1"/>
    <col min="5" max="5" width="12.44140625" bestFit="1" customWidth="1"/>
    <col min="6" max="6" width="7" bestFit="1" customWidth="1"/>
    <col min="7" max="7" width="5.33203125" bestFit="1" customWidth="1"/>
  </cols>
  <sheetData>
    <row r="1" spans="1:5" x14ac:dyDescent="0.3">
      <c r="A1" s="74" t="s">
        <v>103</v>
      </c>
    </row>
    <row r="2" spans="1:5" x14ac:dyDescent="0.3">
      <c r="A2" s="74" t="s">
        <v>104</v>
      </c>
    </row>
    <row r="3" spans="1:5" x14ac:dyDescent="0.3">
      <c r="A3" s="74" t="s">
        <v>105</v>
      </c>
    </row>
    <row r="4" spans="1:5" x14ac:dyDescent="0.3">
      <c r="A4" s="74" t="s">
        <v>106</v>
      </c>
    </row>
    <row r="5" spans="1:5" x14ac:dyDescent="0.3">
      <c r="A5" s="74" t="s">
        <v>107</v>
      </c>
    </row>
    <row r="6" spans="1:5" x14ac:dyDescent="0.3">
      <c r="A6" s="74"/>
      <c r="B6" t="s">
        <v>108</v>
      </c>
    </row>
    <row r="7" spans="1:5" x14ac:dyDescent="0.3">
      <c r="A7" s="74"/>
      <c r="B7" t="s">
        <v>109</v>
      </c>
    </row>
    <row r="8" spans="1:5" x14ac:dyDescent="0.3">
      <c r="A8" s="74"/>
      <c r="B8" t="s">
        <v>110</v>
      </c>
    </row>
    <row r="9" spans="1:5" x14ac:dyDescent="0.3">
      <c r="A9" s="74" t="s">
        <v>111</v>
      </c>
    </row>
    <row r="10" spans="1:5" x14ac:dyDescent="0.3">
      <c r="B10" t="s">
        <v>112</v>
      </c>
    </row>
    <row r="11" spans="1:5" x14ac:dyDescent="0.3">
      <c r="B11" t="s">
        <v>113</v>
      </c>
    </row>
    <row r="14" spans="1:5" ht="15" thickBot="1" x14ac:dyDescent="0.35">
      <c r="A14" t="s">
        <v>114</v>
      </c>
    </row>
    <row r="15" spans="1:5" ht="15" thickBot="1" x14ac:dyDescent="0.35">
      <c r="B15" s="76" t="s">
        <v>115</v>
      </c>
      <c r="C15" s="76" t="s">
        <v>116</v>
      </c>
      <c r="D15" s="76" t="s">
        <v>117</v>
      </c>
      <c r="E15" s="76" t="s">
        <v>118</v>
      </c>
    </row>
    <row r="16" spans="1:5" ht="15" thickBot="1" x14ac:dyDescent="0.35">
      <c r="B16" s="75" t="s">
        <v>126</v>
      </c>
      <c r="C16" s="75" t="s">
        <v>127</v>
      </c>
      <c r="D16" s="75">
        <v>0</v>
      </c>
      <c r="E16" s="75">
        <v>27</v>
      </c>
    </row>
    <row r="19" spans="1:6" ht="15" thickBot="1" x14ac:dyDescent="0.35">
      <c r="A19" t="s">
        <v>119</v>
      </c>
    </row>
    <row r="20" spans="1:6" ht="15" thickBot="1" x14ac:dyDescent="0.35">
      <c r="B20" s="76" t="s">
        <v>115</v>
      </c>
      <c r="C20" s="76" t="s">
        <v>116</v>
      </c>
      <c r="D20" s="76" t="s">
        <v>117</v>
      </c>
      <c r="E20" s="76" t="s">
        <v>118</v>
      </c>
      <c r="F20" s="76" t="s">
        <v>120</v>
      </c>
    </row>
    <row r="21" spans="1:6" x14ac:dyDescent="0.3">
      <c r="B21" s="77" t="s">
        <v>128</v>
      </c>
      <c r="C21" s="77" t="s">
        <v>129</v>
      </c>
      <c r="D21" s="77">
        <v>0</v>
      </c>
      <c r="E21" s="77">
        <v>0</v>
      </c>
      <c r="F21" s="77" t="s">
        <v>195</v>
      </c>
    </row>
    <row r="22" spans="1:6" x14ac:dyDescent="0.3">
      <c r="B22" s="77" t="s">
        <v>130</v>
      </c>
      <c r="C22" s="77" t="s">
        <v>131</v>
      </c>
      <c r="D22" s="77">
        <v>0</v>
      </c>
      <c r="E22" s="77">
        <v>0</v>
      </c>
      <c r="F22" s="77" t="s">
        <v>195</v>
      </c>
    </row>
    <row r="23" spans="1:6" x14ac:dyDescent="0.3">
      <c r="B23" s="77" t="s">
        <v>132</v>
      </c>
      <c r="C23" s="77" t="s">
        <v>133</v>
      </c>
      <c r="D23" s="77">
        <v>0</v>
      </c>
      <c r="E23" s="77">
        <v>1</v>
      </c>
      <c r="F23" s="77" t="s">
        <v>195</v>
      </c>
    </row>
    <row r="24" spans="1:6" x14ac:dyDescent="0.3">
      <c r="B24" s="77" t="s">
        <v>134</v>
      </c>
      <c r="C24" s="77" t="s">
        <v>135</v>
      </c>
      <c r="D24" s="77">
        <v>0</v>
      </c>
      <c r="E24" s="77">
        <v>0</v>
      </c>
      <c r="F24" s="77" t="s">
        <v>195</v>
      </c>
    </row>
    <row r="25" spans="1:6" x14ac:dyDescent="0.3">
      <c r="B25" s="77" t="s">
        <v>136</v>
      </c>
      <c r="C25" s="77" t="s">
        <v>137</v>
      </c>
      <c r="D25" s="77">
        <v>0</v>
      </c>
      <c r="E25" s="77">
        <v>0</v>
      </c>
      <c r="F25" s="77" t="s">
        <v>195</v>
      </c>
    </row>
    <row r="26" spans="1:6" x14ac:dyDescent="0.3">
      <c r="B26" s="77" t="s">
        <v>138</v>
      </c>
      <c r="C26" s="77" t="s">
        <v>139</v>
      </c>
      <c r="D26" s="77">
        <v>0</v>
      </c>
      <c r="E26" s="77">
        <v>0</v>
      </c>
      <c r="F26" s="77" t="s">
        <v>195</v>
      </c>
    </row>
    <row r="27" spans="1:6" x14ac:dyDescent="0.3">
      <c r="B27" s="77" t="s">
        <v>140</v>
      </c>
      <c r="C27" s="77" t="s">
        <v>141</v>
      </c>
      <c r="D27" s="77">
        <v>0</v>
      </c>
      <c r="E27" s="77">
        <v>0</v>
      </c>
      <c r="F27" s="77" t="s">
        <v>195</v>
      </c>
    </row>
    <row r="28" spans="1:6" x14ac:dyDescent="0.3">
      <c r="B28" s="77" t="s">
        <v>142</v>
      </c>
      <c r="C28" s="77" t="s">
        <v>143</v>
      </c>
      <c r="D28" s="77">
        <v>0</v>
      </c>
      <c r="E28" s="77">
        <v>0</v>
      </c>
      <c r="F28" s="77" t="s">
        <v>195</v>
      </c>
    </row>
    <row r="29" spans="1:6" x14ac:dyDescent="0.3">
      <c r="B29" s="77" t="s">
        <v>144</v>
      </c>
      <c r="C29" s="77" t="s">
        <v>145</v>
      </c>
      <c r="D29" s="77">
        <v>0</v>
      </c>
      <c r="E29" s="77">
        <v>0</v>
      </c>
      <c r="F29" s="77" t="s">
        <v>195</v>
      </c>
    </row>
    <row r="30" spans="1:6" x14ac:dyDescent="0.3">
      <c r="B30" s="77" t="s">
        <v>146</v>
      </c>
      <c r="C30" s="77" t="s">
        <v>147</v>
      </c>
      <c r="D30" s="77">
        <v>0</v>
      </c>
      <c r="E30" s="77">
        <v>0</v>
      </c>
      <c r="F30" s="77" t="s">
        <v>195</v>
      </c>
    </row>
    <row r="31" spans="1:6" x14ac:dyDescent="0.3">
      <c r="B31" s="77" t="s">
        <v>148</v>
      </c>
      <c r="C31" s="77" t="s">
        <v>149</v>
      </c>
      <c r="D31" s="77">
        <v>0</v>
      </c>
      <c r="E31" s="77">
        <v>0</v>
      </c>
      <c r="F31" s="77" t="s">
        <v>195</v>
      </c>
    </row>
    <row r="32" spans="1:6" x14ac:dyDescent="0.3">
      <c r="B32" s="77" t="s">
        <v>150</v>
      </c>
      <c r="C32" s="77" t="s">
        <v>151</v>
      </c>
      <c r="D32" s="77">
        <v>0</v>
      </c>
      <c r="E32" s="77">
        <v>1</v>
      </c>
      <c r="F32" s="77" t="s">
        <v>195</v>
      </c>
    </row>
    <row r="33" spans="1:6" x14ac:dyDescent="0.3">
      <c r="B33" s="77" t="s">
        <v>152</v>
      </c>
      <c r="C33" s="77" t="s">
        <v>153</v>
      </c>
      <c r="D33" s="77">
        <v>0</v>
      </c>
      <c r="E33" s="77">
        <v>0</v>
      </c>
      <c r="F33" s="77" t="s">
        <v>195</v>
      </c>
    </row>
    <row r="34" spans="1:6" x14ac:dyDescent="0.3">
      <c r="B34" s="77" t="s">
        <v>154</v>
      </c>
      <c r="C34" s="77" t="s">
        <v>155</v>
      </c>
      <c r="D34" s="77">
        <v>0</v>
      </c>
      <c r="E34" s="77">
        <v>1</v>
      </c>
      <c r="F34" s="77" t="s">
        <v>195</v>
      </c>
    </row>
    <row r="35" spans="1:6" x14ac:dyDescent="0.3">
      <c r="B35" s="77" t="s">
        <v>156</v>
      </c>
      <c r="C35" s="77" t="s">
        <v>157</v>
      </c>
      <c r="D35" s="77">
        <v>0</v>
      </c>
      <c r="E35" s="77">
        <v>0</v>
      </c>
      <c r="F35" s="77" t="s">
        <v>195</v>
      </c>
    </row>
    <row r="36" spans="1:6" x14ac:dyDescent="0.3">
      <c r="B36" s="77" t="s">
        <v>158</v>
      </c>
      <c r="C36" s="77" t="s">
        <v>159</v>
      </c>
      <c r="D36" s="77">
        <v>0</v>
      </c>
      <c r="E36" s="77">
        <v>1</v>
      </c>
      <c r="F36" s="77" t="s">
        <v>195</v>
      </c>
    </row>
    <row r="37" spans="1:6" x14ac:dyDescent="0.3">
      <c r="B37" s="77" t="s">
        <v>160</v>
      </c>
      <c r="C37" s="77" t="s">
        <v>161</v>
      </c>
      <c r="D37" s="77">
        <v>0</v>
      </c>
      <c r="E37" s="77">
        <v>0</v>
      </c>
      <c r="F37" s="77" t="s">
        <v>195</v>
      </c>
    </row>
    <row r="38" spans="1:6" x14ac:dyDescent="0.3">
      <c r="B38" s="77" t="s">
        <v>162</v>
      </c>
      <c r="C38" s="77" t="s">
        <v>163</v>
      </c>
      <c r="D38" s="77">
        <v>0</v>
      </c>
      <c r="E38" s="77">
        <v>0</v>
      </c>
      <c r="F38" s="77" t="s">
        <v>195</v>
      </c>
    </row>
    <row r="39" spans="1:6" x14ac:dyDescent="0.3">
      <c r="B39" s="77" t="s">
        <v>164</v>
      </c>
      <c r="C39" s="77" t="s">
        <v>165</v>
      </c>
      <c r="D39" s="77">
        <v>0</v>
      </c>
      <c r="E39" s="77">
        <v>0</v>
      </c>
      <c r="F39" s="77" t="s">
        <v>195</v>
      </c>
    </row>
    <row r="40" spans="1:6" x14ac:dyDescent="0.3">
      <c r="B40" s="77" t="s">
        <v>166</v>
      </c>
      <c r="C40" s="77" t="s">
        <v>167</v>
      </c>
      <c r="D40" s="77">
        <v>0</v>
      </c>
      <c r="E40" s="77">
        <v>0</v>
      </c>
      <c r="F40" s="77" t="s">
        <v>195</v>
      </c>
    </row>
    <row r="41" spans="1:6" x14ac:dyDescent="0.3">
      <c r="B41" s="77" t="s">
        <v>168</v>
      </c>
      <c r="C41" s="77" t="s">
        <v>169</v>
      </c>
      <c r="D41" s="77">
        <v>0</v>
      </c>
      <c r="E41" s="77">
        <v>0</v>
      </c>
      <c r="F41" s="77" t="s">
        <v>195</v>
      </c>
    </row>
    <row r="42" spans="1:6" x14ac:dyDescent="0.3">
      <c r="B42" s="77" t="s">
        <v>170</v>
      </c>
      <c r="C42" s="77" t="s">
        <v>171</v>
      </c>
      <c r="D42" s="77">
        <v>0</v>
      </c>
      <c r="E42" s="77">
        <v>0</v>
      </c>
      <c r="F42" s="77" t="s">
        <v>195</v>
      </c>
    </row>
    <row r="43" spans="1:6" x14ac:dyDescent="0.3">
      <c r="B43" s="77" t="s">
        <v>172</v>
      </c>
      <c r="C43" s="77" t="s">
        <v>173</v>
      </c>
      <c r="D43" s="77">
        <v>0</v>
      </c>
      <c r="E43" s="77">
        <v>0</v>
      </c>
      <c r="F43" s="77" t="s">
        <v>195</v>
      </c>
    </row>
    <row r="44" spans="1:6" x14ac:dyDescent="0.3">
      <c r="B44" s="77" t="s">
        <v>174</v>
      </c>
      <c r="C44" s="77" t="s">
        <v>175</v>
      </c>
      <c r="D44" s="77">
        <v>0</v>
      </c>
      <c r="E44" s="77">
        <v>0</v>
      </c>
      <c r="F44" s="77" t="s">
        <v>195</v>
      </c>
    </row>
    <row r="45" spans="1:6" ht="15" thickBot="1" x14ac:dyDescent="0.35">
      <c r="B45" s="75" t="s">
        <v>176</v>
      </c>
      <c r="C45" s="75" t="s">
        <v>177</v>
      </c>
      <c r="D45" s="75">
        <v>0</v>
      </c>
      <c r="E45" s="75">
        <v>1</v>
      </c>
      <c r="F45" s="75" t="s">
        <v>195</v>
      </c>
    </row>
    <row r="48" spans="1:6" ht="15" thickBot="1" x14ac:dyDescent="0.35">
      <c r="A48" t="s">
        <v>121</v>
      </c>
    </row>
    <row r="49" spans="2:7" ht="15" thickBot="1" x14ac:dyDescent="0.35">
      <c r="B49" s="76" t="s">
        <v>115</v>
      </c>
      <c r="C49" s="76" t="s">
        <v>116</v>
      </c>
      <c r="D49" s="76" t="s">
        <v>122</v>
      </c>
      <c r="E49" s="76" t="s">
        <v>123</v>
      </c>
      <c r="F49" s="76" t="s">
        <v>124</v>
      </c>
      <c r="G49" s="76" t="s">
        <v>125</v>
      </c>
    </row>
    <row r="50" spans="2:7" x14ac:dyDescent="0.3">
      <c r="B50" s="77" t="s">
        <v>178</v>
      </c>
      <c r="C50" s="77" t="s">
        <v>179</v>
      </c>
      <c r="D50" s="77">
        <v>1</v>
      </c>
      <c r="E50" s="77" t="s">
        <v>180</v>
      </c>
      <c r="F50" s="77" t="s">
        <v>181</v>
      </c>
      <c r="G50" s="77">
        <v>0</v>
      </c>
    </row>
    <row r="51" spans="2:7" x14ac:dyDescent="0.3">
      <c r="B51" s="77" t="s">
        <v>182</v>
      </c>
      <c r="C51" s="77" t="s">
        <v>183</v>
      </c>
      <c r="D51" s="77">
        <v>1</v>
      </c>
      <c r="E51" s="77" t="s">
        <v>184</v>
      </c>
      <c r="F51" s="77" t="s">
        <v>181</v>
      </c>
      <c r="G51" s="77">
        <v>0</v>
      </c>
    </row>
    <row r="52" spans="2:7" x14ac:dyDescent="0.3">
      <c r="B52" s="77" t="s">
        <v>185</v>
      </c>
      <c r="C52" s="77" t="s">
        <v>186</v>
      </c>
      <c r="D52" s="77">
        <v>1</v>
      </c>
      <c r="E52" s="77" t="s">
        <v>187</v>
      </c>
      <c r="F52" s="77" t="s">
        <v>181</v>
      </c>
      <c r="G52" s="77">
        <v>0</v>
      </c>
    </row>
    <row r="53" spans="2:7" x14ac:dyDescent="0.3">
      <c r="B53" s="77" t="s">
        <v>188</v>
      </c>
      <c r="C53" s="77" t="s">
        <v>189</v>
      </c>
      <c r="D53" s="77">
        <v>1</v>
      </c>
      <c r="E53" s="77" t="s">
        <v>190</v>
      </c>
      <c r="F53" s="77" t="s">
        <v>181</v>
      </c>
      <c r="G53" s="77">
        <v>0</v>
      </c>
    </row>
    <row r="54" spans="2:7" x14ac:dyDescent="0.3">
      <c r="B54" s="77" t="s">
        <v>191</v>
      </c>
      <c r="C54" s="77" t="s">
        <v>192</v>
      </c>
      <c r="D54" s="77">
        <v>1</v>
      </c>
      <c r="E54" s="77" t="s">
        <v>193</v>
      </c>
      <c r="F54" s="77" t="s">
        <v>181</v>
      </c>
      <c r="G54" s="77">
        <v>0</v>
      </c>
    </row>
    <row r="55" spans="2:7" ht="15" thickBot="1" x14ac:dyDescent="0.35">
      <c r="B55" s="75" t="s">
        <v>194</v>
      </c>
      <c r="C55" s="75"/>
      <c r="D55" s="75"/>
      <c r="E55" s="75"/>
      <c r="F55" s="75"/>
      <c r="G55" s="7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18E34-D102-4AD8-AFCA-75AE86902AA3}">
  <dimension ref="A2:P20"/>
  <sheetViews>
    <sheetView zoomScale="94" zoomScaleNormal="94" workbookViewId="0">
      <selection activeCell="A12" sqref="A12"/>
    </sheetView>
  </sheetViews>
  <sheetFormatPr defaultRowHeight="14.4" x14ac:dyDescent="0.3"/>
  <cols>
    <col min="1" max="1" width="32.109375" bestFit="1" customWidth="1"/>
    <col min="2" max="2" width="12.5546875" bestFit="1" customWidth="1"/>
    <col min="4" max="4" width="14.5546875" bestFit="1" customWidth="1"/>
    <col min="5" max="5" width="18.77734375" bestFit="1" customWidth="1"/>
    <col min="6" max="6" width="19" bestFit="1" customWidth="1"/>
    <col min="7" max="7" width="11" bestFit="1" customWidth="1"/>
    <col min="8" max="8" width="19.33203125" bestFit="1" customWidth="1"/>
    <col min="9" max="9" width="11.5546875" bestFit="1" customWidth="1"/>
    <col min="10" max="10" width="17.77734375" bestFit="1" customWidth="1"/>
    <col min="11" max="11" width="20.5546875" bestFit="1" customWidth="1"/>
    <col min="12" max="12" width="21.44140625" bestFit="1" customWidth="1"/>
    <col min="13" max="13" width="16.109375" bestFit="1" customWidth="1"/>
    <col min="14" max="14" width="12.77734375" bestFit="1" customWidth="1"/>
    <col min="15" max="15" width="15.33203125" bestFit="1" customWidth="1"/>
    <col min="16" max="16" width="17.21875" bestFit="1" customWidth="1"/>
  </cols>
  <sheetData>
    <row r="2" spans="1:16" ht="15" thickBot="1" x14ac:dyDescent="0.35"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</row>
    <row r="3" spans="1:16" x14ac:dyDescent="0.3">
      <c r="A3" s="89" t="s">
        <v>58</v>
      </c>
      <c r="B3" s="90">
        <v>2887</v>
      </c>
      <c r="D3" s="79" t="s">
        <v>207</v>
      </c>
      <c r="E3" s="80" t="s">
        <v>208</v>
      </c>
      <c r="F3" s="80" t="s">
        <v>209</v>
      </c>
      <c r="G3" s="80" t="s">
        <v>210</v>
      </c>
      <c r="H3" s="80" t="s">
        <v>211</v>
      </c>
      <c r="I3" s="80" t="s">
        <v>212</v>
      </c>
      <c r="J3" s="80" t="s">
        <v>213</v>
      </c>
      <c r="K3" s="80" t="s">
        <v>215</v>
      </c>
      <c r="L3" s="80" t="s">
        <v>214</v>
      </c>
      <c r="M3" s="80" t="s">
        <v>216</v>
      </c>
      <c r="N3" s="80" t="s">
        <v>217</v>
      </c>
      <c r="O3" s="80" t="s">
        <v>218</v>
      </c>
      <c r="P3" s="81" t="s">
        <v>219</v>
      </c>
    </row>
    <row r="4" spans="1:16" ht="15" thickBot="1" x14ac:dyDescent="0.35">
      <c r="A4" s="91" t="s">
        <v>198</v>
      </c>
      <c r="B4" s="92">
        <v>20</v>
      </c>
      <c r="D4" s="85">
        <v>1</v>
      </c>
      <c r="E4" s="22">
        <v>0.39463484603411969</v>
      </c>
      <c r="F4" s="22">
        <v>0</v>
      </c>
      <c r="G4" s="22">
        <f>E4</f>
        <v>0.39463484603411969</v>
      </c>
      <c r="H4" s="22">
        <v>0.14734336375011445</v>
      </c>
      <c r="I4" s="22">
        <f>-$B$4*LN(1-H4)</f>
        <v>3.1879669833123279</v>
      </c>
      <c r="J4" s="22">
        <v>1</v>
      </c>
      <c r="K4" s="22">
        <f>N4</f>
        <v>3.5826018293464474</v>
      </c>
      <c r="L4" s="22">
        <v>0</v>
      </c>
      <c r="M4" s="22">
        <f>G4</f>
        <v>0.39463484603411969</v>
      </c>
      <c r="N4" s="22">
        <f>M4+I4</f>
        <v>3.5826018293464474</v>
      </c>
      <c r="O4" s="22">
        <f>M4-G4</f>
        <v>0</v>
      </c>
      <c r="P4" s="83">
        <v>0</v>
      </c>
    </row>
    <row r="5" spans="1:16" x14ac:dyDescent="0.3">
      <c r="A5" s="78"/>
      <c r="D5" s="85">
        <v>2</v>
      </c>
      <c r="E5" s="22">
        <v>0.90701010162663653</v>
      </c>
      <c r="F5" s="22">
        <f>-15*LN(1-E5)</f>
        <v>35.628966170545119</v>
      </c>
      <c r="G5" s="22">
        <f>G4+F5</f>
        <v>36.023601016579242</v>
      </c>
      <c r="H5" s="22">
        <v>0.40415662099063082</v>
      </c>
      <c r="I5" s="22">
        <f>-$B$4*LN(1-H5)</f>
        <v>10.355548666966918</v>
      </c>
      <c r="J5" s="22">
        <f>IF(L4&gt;=K4,1,2)</f>
        <v>2</v>
      </c>
      <c r="K5" s="22">
        <f>IF(J5=1, N5,K4)</f>
        <v>3.5826018293464474</v>
      </c>
      <c r="L5" s="22">
        <f>IF(J5=2, N5,L4)</f>
        <v>46.37914968354616</v>
      </c>
      <c r="M5" s="22">
        <f>MAX(G5, MIN(K4,L4))</f>
        <v>36.023601016579242</v>
      </c>
      <c r="N5" s="22">
        <f>M5+I5</f>
        <v>46.37914968354616</v>
      </c>
      <c r="O5" s="22">
        <f>M5-G5</f>
        <v>0</v>
      </c>
      <c r="P5" s="83">
        <f>IF(J5=1, MAX(0,G5-K4),MAX(0,G5-L4))</f>
        <v>36.023601016579242</v>
      </c>
    </row>
    <row r="6" spans="1:16" ht="15" thickBot="1" x14ac:dyDescent="0.35">
      <c r="D6" s="85">
        <v>3</v>
      </c>
      <c r="E6" s="22">
        <v>0.94750816370128488</v>
      </c>
      <c r="F6" s="22">
        <f>-15*LN(1-E6)</f>
        <v>44.206464308218294</v>
      </c>
      <c r="G6" s="22">
        <f>G5+F6</f>
        <v>80.230065324797536</v>
      </c>
      <c r="H6" s="22">
        <v>0.37665944395275736</v>
      </c>
      <c r="I6" s="22">
        <f>-$B$4*LN(1-H6)</f>
        <v>9.4532454125436036</v>
      </c>
      <c r="J6" s="22">
        <f>IF(L5&gt;=K5,1,2)</f>
        <v>1</v>
      </c>
      <c r="K6" s="22">
        <f>IF(J6=1, N6,K5)</f>
        <v>89.683310737341145</v>
      </c>
      <c r="L6" s="22">
        <f>IF(J6=2, N6,L5)</f>
        <v>46.37914968354616</v>
      </c>
      <c r="M6" s="22">
        <f>MAX(G6, MIN(K5,L5))</f>
        <v>80.230065324797536</v>
      </c>
      <c r="N6" s="22">
        <f>M6+I6</f>
        <v>89.683310737341145</v>
      </c>
      <c r="O6" s="22">
        <f>M6-G6</f>
        <v>0</v>
      </c>
      <c r="P6" s="83">
        <f>IF(J6=1, MAX(0,G6-K5),MAX(0,G6-L5))</f>
        <v>76.647463495451092</v>
      </c>
    </row>
    <row r="7" spans="1:16" x14ac:dyDescent="0.3">
      <c r="A7" s="134" t="s">
        <v>202</v>
      </c>
      <c r="B7" s="136"/>
      <c r="D7" s="85">
        <v>4</v>
      </c>
      <c r="E7" s="22">
        <v>0.5050813318277535</v>
      </c>
      <c r="F7" s="22">
        <f>-15*LN(1-E7)</f>
        <v>10.550427549540141</v>
      </c>
      <c r="G7" s="22">
        <f>G6+F7</f>
        <v>90.780492874337682</v>
      </c>
      <c r="H7" s="22">
        <v>0.93896298104800557</v>
      </c>
      <c r="I7" s="22">
        <f>-$B$4*LN(1-H7)</f>
        <v>55.925494616266022</v>
      </c>
      <c r="J7" s="22">
        <f>IF(L6&gt;=K6,1,2)</f>
        <v>2</v>
      </c>
      <c r="K7" s="22">
        <f>IF(J7=1, N7,K6)</f>
        <v>89.683310737341145</v>
      </c>
      <c r="L7" s="22">
        <f>IF(J7=2, N7,L6)</f>
        <v>146.70598749060372</v>
      </c>
      <c r="M7" s="22">
        <f>MAX(G7, MIN(K6,L6))</f>
        <v>90.780492874337682</v>
      </c>
      <c r="N7" s="22">
        <f>M7+I7</f>
        <v>146.70598749060372</v>
      </c>
      <c r="O7" s="22">
        <f>M7-G7</f>
        <v>0</v>
      </c>
      <c r="P7" s="83">
        <f>IF(J7=1, MAX(0,G7-K6),MAX(0,G7-L6))</f>
        <v>44.401343190791522</v>
      </c>
    </row>
    <row r="8" spans="1:16" x14ac:dyDescent="0.3">
      <c r="A8" s="87" t="s">
        <v>199</v>
      </c>
      <c r="B8" s="94">
        <f>SUM(O4:O18)</f>
        <v>208.26584239681972</v>
      </c>
      <c r="D8" s="85">
        <v>5</v>
      </c>
      <c r="E8" s="22">
        <v>0.23630481887264626</v>
      </c>
      <c r="F8" s="22">
        <f t="shared" ref="F8:F18" si="0">-15*LN(1-E8)</f>
        <v>4.0437982051551931</v>
      </c>
      <c r="G8" s="22">
        <f t="shared" ref="G8:G18" si="1">G7+F8</f>
        <v>94.82429107949288</v>
      </c>
      <c r="H8" s="22">
        <v>0.86507766960661636</v>
      </c>
      <c r="I8" s="22">
        <f t="shared" ref="I8:I18" si="2">-$B$4*LN(1-H8)</f>
        <v>40.061119930582805</v>
      </c>
      <c r="J8" s="22">
        <f t="shared" ref="J8:J18" si="3">IF(L7&gt;=K7,1,2)</f>
        <v>1</v>
      </c>
      <c r="K8" s="22">
        <f t="shared" ref="K8:K18" si="4">IF(J8=1, N8,K7)</f>
        <v>134.8854110100757</v>
      </c>
      <c r="L8" s="22">
        <f t="shared" ref="L8:L18" si="5">IF(J8=2, N8,L7)</f>
        <v>146.70598749060372</v>
      </c>
      <c r="M8" s="22">
        <f t="shared" ref="M8:M18" si="6">MAX(G8, MIN(K7,L7))</f>
        <v>94.82429107949288</v>
      </c>
      <c r="N8" s="22">
        <f t="shared" ref="N8:N18" si="7">M8+I8</f>
        <v>134.8854110100757</v>
      </c>
      <c r="O8" s="22">
        <f t="shared" ref="O8:O18" si="8">M8-G8</f>
        <v>0</v>
      </c>
      <c r="P8" s="83">
        <f t="shared" ref="P8:P18" si="9">IF(J8=1, MAX(0,G8-K7),MAX(0,G8-L7))</f>
        <v>5.1409803421517353</v>
      </c>
    </row>
    <row r="9" spans="1:16" x14ac:dyDescent="0.3">
      <c r="A9" s="87" t="s">
        <v>200</v>
      </c>
      <c r="B9" s="94">
        <f>AVERAGE(O4:O18)</f>
        <v>13.884389493121315</v>
      </c>
      <c r="D9" s="85">
        <v>6</v>
      </c>
      <c r="E9" s="22">
        <v>0.64403210547196876</v>
      </c>
      <c r="F9" s="22">
        <f t="shared" si="0"/>
        <v>15.49372104160417</v>
      </c>
      <c r="G9" s="22">
        <f t="shared" si="1"/>
        <v>110.31801212109706</v>
      </c>
      <c r="H9" s="22">
        <v>4.4709616382335886E-2</v>
      </c>
      <c r="I9" s="22">
        <f t="shared" si="2"/>
        <v>0.91479836209872212</v>
      </c>
      <c r="J9" s="22">
        <f t="shared" si="3"/>
        <v>1</v>
      </c>
      <c r="K9" s="22">
        <f t="shared" si="4"/>
        <v>135.80020937217444</v>
      </c>
      <c r="L9" s="22">
        <f t="shared" si="5"/>
        <v>146.70598749060372</v>
      </c>
      <c r="M9" s="22">
        <f t="shared" si="6"/>
        <v>134.8854110100757</v>
      </c>
      <c r="N9" s="22">
        <f t="shared" si="7"/>
        <v>135.80020937217444</v>
      </c>
      <c r="O9" s="22">
        <f t="shared" si="8"/>
        <v>24.567398888978644</v>
      </c>
      <c r="P9" s="83">
        <f t="shared" si="9"/>
        <v>0</v>
      </c>
    </row>
    <row r="10" spans="1:16" ht="15" thickBot="1" x14ac:dyDescent="0.35">
      <c r="A10" s="88" t="s">
        <v>201</v>
      </c>
      <c r="B10" s="95">
        <f>MAX(O4:O18)</f>
        <v>41.73261271205331</v>
      </c>
      <c r="D10" s="85">
        <v>7</v>
      </c>
      <c r="E10" s="22">
        <v>0.19916379284035768</v>
      </c>
      <c r="F10" s="22">
        <f t="shared" si="0"/>
        <v>3.331482574011289</v>
      </c>
      <c r="G10" s="22">
        <f t="shared" si="1"/>
        <v>113.64949469510834</v>
      </c>
      <c r="H10" s="22">
        <v>0.20914334543900875</v>
      </c>
      <c r="I10" s="22">
        <f t="shared" si="2"/>
        <v>4.6927709633325563</v>
      </c>
      <c r="J10" s="22">
        <f t="shared" si="3"/>
        <v>1</v>
      </c>
      <c r="K10" s="22">
        <f t="shared" si="4"/>
        <v>140.49298033550699</v>
      </c>
      <c r="L10" s="22">
        <f t="shared" si="5"/>
        <v>146.70598749060372</v>
      </c>
      <c r="M10" s="22">
        <f t="shared" si="6"/>
        <v>135.80020937217444</v>
      </c>
      <c r="N10" s="22">
        <f t="shared" si="7"/>
        <v>140.49298033550699</v>
      </c>
      <c r="O10" s="22">
        <f t="shared" si="8"/>
        <v>22.150714677066091</v>
      </c>
      <c r="P10" s="83">
        <f t="shared" si="9"/>
        <v>0</v>
      </c>
    </row>
    <row r="11" spans="1:16" x14ac:dyDescent="0.3">
      <c r="D11" s="85">
        <v>8</v>
      </c>
      <c r="E11" s="22">
        <v>0.54701376384777367</v>
      </c>
      <c r="F11" s="22">
        <f t="shared" si="0"/>
        <v>11.878403065959283</v>
      </c>
      <c r="G11" s="22">
        <f t="shared" si="1"/>
        <v>125.52789776106763</v>
      </c>
      <c r="H11" s="22">
        <v>0.61668752098147528</v>
      </c>
      <c r="I11" s="22">
        <f t="shared" si="2"/>
        <v>19.178095006663884</v>
      </c>
      <c r="J11" s="22">
        <f t="shared" si="3"/>
        <v>1</v>
      </c>
      <c r="K11" s="22">
        <f t="shared" si="4"/>
        <v>159.67107534217087</v>
      </c>
      <c r="L11" s="22">
        <f t="shared" si="5"/>
        <v>146.70598749060372</v>
      </c>
      <c r="M11" s="22">
        <f t="shared" si="6"/>
        <v>140.49298033550699</v>
      </c>
      <c r="N11" s="22">
        <f t="shared" si="7"/>
        <v>159.67107534217087</v>
      </c>
      <c r="O11" s="22">
        <f t="shared" si="8"/>
        <v>14.96508257443935</v>
      </c>
      <c r="P11" s="83">
        <f t="shared" si="9"/>
        <v>0</v>
      </c>
    </row>
    <row r="12" spans="1:16" ht="15" thickBot="1" x14ac:dyDescent="0.35">
      <c r="D12" s="85">
        <v>9</v>
      </c>
      <c r="E12" s="22">
        <v>0.94882045960875272</v>
      </c>
      <c r="F12" s="22">
        <f t="shared" si="0"/>
        <v>44.586231427982632</v>
      </c>
      <c r="G12" s="22">
        <f t="shared" si="1"/>
        <v>170.11412918905026</v>
      </c>
      <c r="H12" s="22">
        <v>0.93914609210486155</v>
      </c>
      <c r="I12" s="22">
        <f t="shared" si="2"/>
        <v>55.985584796671986</v>
      </c>
      <c r="J12" s="22">
        <f t="shared" si="3"/>
        <v>2</v>
      </c>
      <c r="K12" s="22">
        <f t="shared" si="4"/>
        <v>159.67107534217087</v>
      </c>
      <c r="L12" s="22">
        <f t="shared" si="5"/>
        <v>226.09971398572225</v>
      </c>
      <c r="M12" s="22">
        <f t="shared" si="6"/>
        <v>170.11412918905026</v>
      </c>
      <c r="N12" s="22">
        <f t="shared" si="7"/>
        <v>226.09971398572225</v>
      </c>
      <c r="O12" s="22">
        <f t="shared" si="8"/>
        <v>0</v>
      </c>
      <c r="P12" s="83">
        <f t="shared" si="9"/>
        <v>23.408141698446542</v>
      </c>
    </row>
    <row r="13" spans="1:16" x14ac:dyDescent="0.3">
      <c r="A13" s="134" t="s">
        <v>223</v>
      </c>
      <c r="B13" s="136"/>
      <c r="D13" s="85">
        <v>10</v>
      </c>
      <c r="E13" s="22">
        <v>0.91680654316843169</v>
      </c>
      <c r="F13" s="22">
        <f t="shared" si="0"/>
        <v>37.298798671483596</v>
      </c>
      <c r="G13" s="22">
        <f t="shared" si="1"/>
        <v>207.41292786053384</v>
      </c>
      <c r="H13" s="22">
        <v>0.92812891018402666</v>
      </c>
      <c r="I13" s="22">
        <f t="shared" si="2"/>
        <v>52.657623678097323</v>
      </c>
      <c r="J13" s="22">
        <f t="shared" si="3"/>
        <v>1</v>
      </c>
      <c r="K13" s="22">
        <f t="shared" si="4"/>
        <v>260.07055153863115</v>
      </c>
      <c r="L13" s="22">
        <f t="shared" si="5"/>
        <v>226.09971398572225</v>
      </c>
      <c r="M13" s="22">
        <f t="shared" si="6"/>
        <v>207.41292786053384</v>
      </c>
      <c r="N13" s="22">
        <f t="shared" si="7"/>
        <v>260.07055153863115</v>
      </c>
      <c r="O13" s="22">
        <f t="shared" si="8"/>
        <v>0</v>
      </c>
      <c r="P13" s="83">
        <f t="shared" si="9"/>
        <v>47.741852518362975</v>
      </c>
    </row>
    <row r="14" spans="1:16" x14ac:dyDescent="0.3">
      <c r="A14" s="93" t="s">
        <v>203</v>
      </c>
      <c r="B14" s="94">
        <f>SUMIF(J4:J18,1,P4:P18)</f>
        <v>129.53029635596579</v>
      </c>
      <c r="D14" s="85">
        <v>11</v>
      </c>
      <c r="E14" s="22">
        <v>0.22861415448469496</v>
      </c>
      <c r="F14" s="22">
        <f t="shared" si="0"/>
        <v>3.8934987369305682</v>
      </c>
      <c r="G14" s="22">
        <f t="shared" si="1"/>
        <v>211.30642659746442</v>
      </c>
      <c r="H14" s="22">
        <v>0.94940031128879665</v>
      </c>
      <c r="I14" s="22">
        <f t="shared" si="2"/>
        <v>59.676197093202873</v>
      </c>
      <c r="J14" s="22">
        <f t="shared" si="3"/>
        <v>2</v>
      </c>
      <c r="K14" s="22">
        <f t="shared" si="4"/>
        <v>260.07055153863115</v>
      </c>
      <c r="L14" s="22">
        <f t="shared" si="5"/>
        <v>285.77591107892511</v>
      </c>
      <c r="M14" s="22">
        <f t="shared" si="6"/>
        <v>226.09971398572225</v>
      </c>
      <c r="N14" s="22">
        <f t="shared" si="7"/>
        <v>285.77591107892511</v>
      </c>
      <c r="O14" s="22">
        <f t="shared" si="8"/>
        <v>14.793287388257824</v>
      </c>
      <c r="P14" s="83">
        <f t="shared" si="9"/>
        <v>0</v>
      </c>
    </row>
    <row r="15" spans="1:16" x14ac:dyDescent="0.3">
      <c r="A15" s="93" t="s">
        <v>204</v>
      </c>
      <c r="B15" s="94">
        <f>SUMIF(J4:J18,2,P4:P18)</f>
        <v>103.83308590581731</v>
      </c>
      <c r="D15" s="85">
        <v>12</v>
      </c>
      <c r="E15" s="22">
        <v>0.78325754570146799</v>
      </c>
      <c r="F15" s="22">
        <f t="shared" si="0"/>
        <v>22.935682152785265</v>
      </c>
      <c r="G15" s="22">
        <f t="shared" si="1"/>
        <v>234.24210875024968</v>
      </c>
      <c r="H15" s="22">
        <v>0.78084658345286417</v>
      </c>
      <c r="I15" s="22">
        <f t="shared" si="2"/>
        <v>30.359665244901329</v>
      </c>
      <c r="J15" s="22">
        <f t="shared" si="3"/>
        <v>1</v>
      </c>
      <c r="K15" s="22">
        <f t="shared" si="4"/>
        <v>290.4302167835325</v>
      </c>
      <c r="L15" s="22">
        <f t="shared" si="5"/>
        <v>285.77591107892511</v>
      </c>
      <c r="M15" s="22">
        <f t="shared" si="6"/>
        <v>260.07055153863115</v>
      </c>
      <c r="N15" s="22">
        <f t="shared" si="7"/>
        <v>290.4302167835325</v>
      </c>
      <c r="O15" s="22">
        <f t="shared" si="8"/>
        <v>25.828442788381466</v>
      </c>
      <c r="P15" s="83">
        <f t="shared" si="9"/>
        <v>0</v>
      </c>
    </row>
    <row r="16" spans="1:16" x14ac:dyDescent="0.3">
      <c r="A16" s="93" t="s">
        <v>205</v>
      </c>
      <c r="B16" s="94">
        <f>MAX(N4:N18)</f>
        <v>317.77755335505168</v>
      </c>
      <c r="D16" s="85">
        <v>13</v>
      </c>
      <c r="E16" s="22">
        <v>0.70656453138828701</v>
      </c>
      <c r="F16" s="22">
        <f t="shared" si="0"/>
        <v>18.391462984987559</v>
      </c>
      <c r="G16" s="22">
        <f t="shared" si="1"/>
        <v>252.63357173523724</v>
      </c>
      <c r="H16" s="22">
        <v>0.79812005981627854</v>
      </c>
      <c r="I16" s="22">
        <f t="shared" si="2"/>
        <v>32.001642276126553</v>
      </c>
      <c r="J16" s="22">
        <f t="shared" si="3"/>
        <v>2</v>
      </c>
      <c r="K16" s="22">
        <f t="shared" si="4"/>
        <v>290.4302167835325</v>
      </c>
      <c r="L16" s="22">
        <f t="shared" si="5"/>
        <v>317.77755335505168</v>
      </c>
      <c r="M16" s="22">
        <f t="shared" si="6"/>
        <v>285.77591107892511</v>
      </c>
      <c r="N16" s="22">
        <f t="shared" si="7"/>
        <v>317.77755335505168</v>
      </c>
      <c r="O16" s="22">
        <f t="shared" si="8"/>
        <v>33.142339343687865</v>
      </c>
      <c r="P16" s="83">
        <f t="shared" si="9"/>
        <v>0</v>
      </c>
    </row>
    <row r="17" spans="1:16" x14ac:dyDescent="0.3">
      <c r="A17" s="93" t="s">
        <v>221</v>
      </c>
      <c r="B17" s="94">
        <f>SUMIF(J4:J18,1,I4:I18)</f>
        <v>180.79078721860319</v>
      </c>
      <c r="D17" s="85">
        <v>14</v>
      </c>
      <c r="E17" s="22">
        <v>0.36069826349681083</v>
      </c>
      <c r="F17" s="22">
        <f t="shared" si="0"/>
        <v>6.7106810243400821</v>
      </c>
      <c r="G17" s="22">
        <f t="shared" si="1"/>
        <v>259.34425275957733</v>
      </c>
      <c r="H17" s="22">
        <v>0.44630268257698297</v>
      </c>
      <c r="I17" s="22">
        <f t="shared" si="2"/>
        <v>11.822741999704414</v>
      </c>
      <c r="J17" s="22">
        <f t="shared" si="3"/>
        <v>1</v>
      </c>
      <c r="K17" s="22">
        <f t="shared" si="4"/>
        <v>302.25295878323692</v>
      </c>
      <c r="L17" s="22">
        <f t="shared" si="5"/>
        <v>317.77755335505168</v>
      </c>
      <c r="M17" s="22">
        <f t="shared" si="6"/>
        <v>290.4302167835325</v>
      </c>
      <c r="N17" s="22">
        <f t="shared" si="7"/>
        <v>302.25295878323692</v>
      </c>
      <c r="O17" s="22">
        <f t="shared" si="8"/>
        <v>31.085964023955171</v>
      </c>
      <c r="P17" s="83">
        <f t="shared" si="9"/>
        <v>0</v>
      </c>
    </row>
    <row r="18" spans="1:16" ht="15" thickBot="1" x14ac:dyDescent="0.35">
      <c r="A18" s="93" t="s">
        <v>222</v>
      </c>
      <c r="B18" s="94">
        <f>SUMIF(J4:J18,2,I4:I18)</f>
        <v>213.94446744923434</v>
      </c>
      <c r="D18" s="86">
        <v>15</v>
      </c>
      <c r="E18" s="40">
        <v>7.5411236915189056E-2</v>
      </c>
      <c r="F18" s="40">
        <f t="shared" si="0"/>
        <v>1.1760933116062964</v>
      </c>
      <c r="G18" s="40">
        <f t="shared" si="1"/>
        <v>260.52034607118361</v>
      </c>
      <c r="H18" s="40">
        <v>0.34501174962614828</v>
      </c>
      <c r="I18" s="40">
        <f t="shared" si="2"/>
        <v>8.4627596373662222</v>
      </c>
      <c r="J18" s="40">
        <f t="shared" si="3"/>
        <v>1</v>
      </c>
      <c r="K18" s="40">
        <f t="shared" si="4"/>
        <v>310.71571842060314</v>
      </c>
      <c r="L18" s="40">
        <f t="shared" si="5"/>
        <v>317.77755335505168</v>
      </c>
      <c r="M18" s="40">
        <f t="shared" si="6"/>
        <v>302.25295878323692</v>
      </c>
      <c r="N18" s="40">
        <f t="shared" si="7"/>
        <v>310.71571842060314</v>
      </c>
      <c r="O18" s="40">
        <f t="shared" si="8"/>
        <v>41.73261271205331</v>
      </c>
      <c r="P18" s="84">
        <f t="shared" si="9"/>
        <v>0</v>
      </c>
    </row>
    <row r="19" spans="1:16" x14ac:dyDescent="0.3">
      <c r="A19" s="93" t="s">
        <v>206</v>
      </c>
      <c r="B19" s="94">
        <f>B14/B16</f>
        <v>0.40761310856730676</v>
      </c>
    </row>
    <row r="20" spans="1:16" ht="15" thickBot="1" x14ac:dyDescent="0.35">
      <c r="A20" s="91" t="s">
        <v>220</v>
      </c>
      <c r="B20" s="95">
        <f>B15/B16</f>
        <v>0.32674770388770974</v>
      </c>
    </row>
  </sheetData>
  <mergeCells count="2">
    <mergeCell ref="A7:B7"/>
    <mergeCell ref="A13:B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 and Task 2</vt:lpstr>
      <vt:lpstr>Forecasting Models</vt:lpstr>
      <vt:lpstr>Selected Random Numbers</vt:lpstr>
      <vt:lpstr>Inventory Simmulation</vt:lpstr>
      <vt:lpstr>Engineer job allocation</vt:lpstr>
      <vt:lpstr>Solver(Answer Report)</vt:lpstr>
      <vt:lpstr>Vehicles Servicicng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Devon Barrow (Management)</dc:creator>
  <cp:lastModifiedBy>Bharath Pagidala (MSc Business Analytics FT)</cp:lastModifiedBy>
  <dcterms:created xsi:type="dcterms:W3CDTF">2023-12-15T13:05:33Z</dcterms:created>
  <dcterms:modified xsi:type="dcterms:W3CDTF">2025-05-08T06:51:01Z</dcterms:modified>
</cp:coreProperties>
</file>